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https://cmailcarletonca-my.sharepoint.com/personal/ahmedabdulla3_cunet_carleton_ca/Documents/Graduate Research/CO2 to Aviation Fuels/CO2 TO ATF _FO Modified/"/>
    </mc:Choice>
  </mc:AlternateContent>
  <xr:revisionPtr revIDLastSave="3158" documentId="8_{F786A981-7334-454B-87AA-B33CEFCD62B5}" xr6:coauthVersionLast="47" xr6:coauthVersionMax="47" xr10:uidLastSave="{64EB2669-FEBA-4637-BE94-26961C0A59DD}"/>
  <bookViews>
    <workbookView xWindow="28680" yWindow="675" windowWidth="29040" windowHeight="15720" firstSheet="1" activeTab="1" xr2:uid="{E6A15DA0-305B-49EA-9AA3-997882F95786}"/>
  </bookViews>
  <sheets>
    <sheet name="FT " sheetId="2" r:id="rId1"/>
    <sheet name="Co-Electrolysis (2)" sheetId="6" r:id="rId2"/>
    <sheet name="Process Req." sheetId="7" r:id="rId3"/>
    <sheet name="Co-Electrolysis" sheetId="5" r:id="rId4"/>
    <sheet name="CO2" sheetId="3" r:id="rId5"/>
    <sheet name="Fuel" sheetId="4" r:id="rId6"/>
    <sheet name="Hydrocracker" sheetId="1"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32" i="6" l="1"/>
  <c r="X18" i="6" l="1"/>
  <c r="Y37" i="6"/>
  <c r="BG22" i="6"/>
  <c r="AU87" i="6" l="1"/>
  <c r="C16" i="6"/>
  <c r="N16" i="2" l="1"/>
  <c r="O16" i="2"/>
  <c r="O17" i="2"/>
  <c r="A25" i="7"/>
  <c r="Y43" i="6" l="1"/>
  <c r="Y42" i="6"/>
  <c r="D4" i="3" l="1"/>
  <c r="C4" i="3"/>
  <c r="B4" i="3"/>
  <c r="AS62" i="6" l="1"/>
  <c r="AS61" i="6"/>
  <c r="C36" i="6"/>
  <c r="AI31" i="6"/>
  <c r="AI30" i="6"/>
  <c r="AI29" i="6"/>
  <c r="C18" i="6"/>
  <c r="F6" i="6"/>
  <c r="F9" i="6" s="1"/>
  <c r="AI28" i="5"/>
  <c r="AI30" i="5"/>
  <c r="AI29" i="5"/>
  <c r="C15" i="5"/>
  <c r="D15" i="5" s="1"/>
  <c r="I20" i="1"/>
  <c r="I18" i="1"/>
  <c r="O19" i="2"/>
  <c r="O18" i="2"/>
  <c r="F16" i="2"/>
  <c r="E16" i="2"/>
  <c r="L22" i="2"/>
  <c r="L24" i="2"/>
  <c r="L28" i="2"/>
  <c r="L30" i="2"/>
  <c r="L32" i="2"/>
  <c r="L36" i="2"/>
  <c r="L38" i="2"/>
  <c r="L40" i="2"/>
  <c r="L46" i="2"/>
  <c r="L48" i="2"/>
  <c r="L52" i="2"/>
  <c r="L54" i="2"/>
  <c r="L56" i="2"/>
  <c r="L60" i="2"/>
  <c r="L62" i="2"/>
  <c r="L64" i="2"/>
  <c r="L68" i="2"/>
  <c r="L70" i="2"/>
  <c r="L72" i="2"/>
  <c r="L76" i="2"/>
  <c r="L78" i="2"/>
  <c r="L80" i="2"/>
  <c r="L84" i="2"/>
  <c r="L86" i="2"/>
  <c r="L88" i="2"/>
  <c r="L92" i="2"/>
  <c r="L94" i="2"/>
  <c r="L96" i="2"/>
  <c r="L100" i="2"/>
  <c r="L102" i="2"/>
  <c r="L104" i="2"/>
  <c r="L108" i="2"/>
  <c r="L110" i="2"/>
  <c r="L112" i="2"/>
  <c r="L16" i="2"/>
  <c r="F17" i="2"/>
  <c r="H17" i="2" s="1"/>
  <c r="F18" i="2"/>
  <c r="H18" i="2" s="1"/>
  <c r="F19" i="2"/>
  <c r="H19" i="2" s="1"/>
  <c r="F20" i="2"/>
  <c r="H20" i="2" s="1"/>
  <c r="F21" i="2"/>
  <c r="H21" i="2" s="1"/>
  <c r="F22" i="2"/>
  <c r="H22" i="2" s="1"/>
  <c r="F23" i="2"/>
  <c r="H23" i="2" s="1"/>
  <c r="F24" i="2"/>
  <c r="H24" i="2" s="1"/>
  <c r="F25" i="2"/>
  <c r="H25" i="2" s="1"/>
  <c r="F26" i="2"/>
  <c r="H26" i="2" s="1"/>
  <c r="F27" i="2"/>
  <c r="H27" i="2" s="1"/>
  <c r="F28" i="2"/>
  <c r="F29" i="2"/>
  <c r="H29" i="2" s="1"/>
  <c r="F30" i="2"/>
  <c r="H30" i="2" s="1"/>
  <c r="F31" i="2"/>
  <c r="H31" i="2" s="1"/>
  <c r="F32" i="2"/>
  <c r="H32" i="2" s="1"/>
  <c r="F33" i="2"/>
  <c r="H33" i="2" s="1"/>
  <c r="F34" i="2"/>
  <c r="H34" i="2" s="1"/>
  <c r="F35" i="2"/>
  <c r="H35" i="2" s="1"/>
  <c r="F36" i="2"/>
  <c r="H36" i="2" s="1"/>
  <c r="F37" i="2"/>
  <c r="H37" i="2" s="1"/>
  <c r="F38" i="2"/>
  <c r="H38" i="2" s="1"/>
  <c r="F39" i="2"/>
  <c r="H39" i="2" s="1"/>
  <c r="F40" i="2"/>
  <c r="H40" i="2" s="1"/>
  <c r="F41" i="2"/>
  <c r="H41" i="2" s="1"/>
  <c r="F42" i="2"/>
  <c r="H42" i="2" s="1"/>
  <c r="F43" i="2"/>
  <c r="H43" i="2" s="1"/>
  <c r="F44" i="2"/>
  <c r="H44" i="2" s="1"/>
  <c r="F45" i="2"/>
  <c r="H45" i="2" s="1"/>
  <c r="F46" i="2"/>
  <c r="H46" i="2" s="1"/>
  <c r="F47" i="2"/>
  <c r="H47" i="2" s="1"/>
  <c r="F48" i="2"/>
  <c r="H48" i="2" s="1"/>
  <c r="F49" i="2"/>
  <c r="H49" i="2" s="1"/>
  <c r="F50" i="2"/>
  <c r="H50" i="2" s="1"/>
  <c r="F51" i="2"/>
  <c r="H51" i="2" s="1"/>
  <c r="F52" i="2"/>
  <c r="H52" i="2" s="1"/>
  <c r="F53" i="2"/>
  <c r="H53" i="2" s="1"/>
  <c r="F54" i="2"/>
  <c r="H54" i="2" s="1"/>
  <c r="F55" i="2"/>
  <c r="H55" i="2" s="1"/>
  <c r="F56" i="2"/>
  <c r="H56" i="2" s="1"/>
  <c r="F57" i="2"/>
  <c r="H57" i="2" s="1"/>
  <c r="F58" i="2"/>
  <c r="H58" i="2" s="1"/>
  <c r="F59" i="2"/>
  <c r="H59" i="2" s="1"/>
  <c r="F60" i="2"/>
  <c r="H60" i="2" s="1"/>
  <c r="F61" i="2"/>
  <c r="H61" i="2" s="1"/>
  <c r="F62" i="2"/>
  <c r="H62" i="2" s="1"/>
  <c r="F63" i="2"/>
  <c r="H63" i="2" s="1"/>
  <c r="F64" i="2"/>
  <c r="H64" i="2" s="1"/>
  <c r="F65" i="2"/>
  <c r="H65" i="2" s="1"/>
  <c r="F66" i="2"/>
  <c r="H66" i="2" s="1"/>
  <c r="F67" i="2"/>
  <c r="H67" i="2" s="1"/>
  <c r="F68" i="2"/>
  <c r="H68" i="2" s="1"/>
  <c r="F69" i="2"/>
  <c r="H69" i="2" s="1"/>
  <c r="F70" i="2"/>
  <c r="H70" i="2" s="1"/>
  <c r="F71" i="2"/>
  <c r="H71" i="2" s="1"/>
  <c r="F72" i="2"/>
  <c r="H72" i="2" s="1"/>
  <c r="F73" i="2"/>
  <c r="H73" i="2" s="1"/>
  <c r="F74" i="2"/>
  <c r="H74" i="2" s="1"/>
  <c r="F75" i="2"/>
  <c r="H75" i="2" s="1"/>
  <c r="F76" i="2"/>
  <c r="H76" i="2" s="1"/>
  <c r="F77" i="2"/>
  <c r="H77" i="2" s="1"/>
  <c r="F78" i="2"/>
  <c r="H78" i="2" s="1"/>
  <c r="F79" i="2"/>
  <c r="H79" i="2" s="1"/>
  <c r="F80" i="2"/>
  <c r="H80" i="2" s="1"/>
  <c r="F81" i="2"/>
  <c r="H81" i="2" s="1"/>
  <c r="F82" i="2"/>
  <c r="H82" i="2" s="1"/>
  <c r="F83" i="2"/>
  <c r="H83" i="2" s="1"/>
  <c r="F84" i="2"/>
  <c r="H84" i="2" s="1"/>
  <c r="F85" i="2"/>
  <c r="H85" i="2" s="1"/>
  <c r="F86" i="2"/>
  <c r="H86" i="2" s="1"/>
  <c r="F87" i="2"/>
  <c r="H87" i="2" s="1"/>
  <c r="F88" i="2"/>
  <c r="H88" i="2" s="1"/>
  <c r="F89" i="2"/>
  <c r="H89" i="2" s="1"/>
  <c r="F90" i="2"/>
  <c r="H90" i="2" s="1"/>
  <c r="F91" i="2"/>
  <c r="H91" i="2" s="1"/>
  <c r="F92" i="2"/>
  <c r="H92" i="2" s="1"/>
  <c r="F93" i="2"/>
  <c r="H93" i="2" s="1"/>
  <c r="F94" i="2"/>
  <c r="H94" i="2" s="1"/>
  <c r="F95" i="2"/>
  <c r="H95" i="2" s="1"/>
  <c r="F96" i="2"/>
  <c r="H96" i="2" s="1"/>
  <c r="F97" i="2"/>
  <c r="H97" i="2" s="1"/>
  <c r="F98" i="2"/>
  <c r="H98" i="2" s="1"/>
  <c r="F99" i="2"/>
  <c r="H99" i="2" s="1"/>
  <c r="F100" i="2"/>
  <c r="H100" i="2" s="1"/>
  <c r="F101" i="2"/>
  <c r="H101" i="2" s="1"/>
  <c r="F102" i="2"/>
  <c r="H102" i="2" s="1"/>
  <c r="F103" i="2"/>
  <c r="H103" i="2" s="1"/>
  <c r="F104" i="2"/>
  <c r="H104" i="2" s="1"/>
  <c r="F105" i="2"/>
  <c r="H105" i="2" s="1"/>
  <c r="F106" i="2"/>
  <c r="H106" i="2" s="1"/>
  <c r="F107" i="2"/>
  <c r="H107" i="2" s="1"/>
  <c r="F108" i="2"/>
  <c r="H108" i="2" s="1"/>
  <c r="F109" i="2"/>
  <c r="H109" i="2" s="1"/>
  <c r="F110" i="2"/>
  <c r="H110" i="2" s="1"/>
  <c r="F111" i="2"/>
  <c r="H111" i="2" s="1"/>
  <c r="F112" i="2"/>
  <c r="H112" i="2" s="1"/>
  <c r="F113" i="2"/>
  <c r="H113" i="2" s="1"/>
  <c r="F114" i="2"/>
  <c r="H114" i="2" s="1"/>
  <c r="F115" i="2"/>
  <c r="H115" i="2" s="1"/>
  <c r="H16" i="2"/>
  <c r="D17" i="2"/>
  <c r="A117" i="2"/>
  <c r="S20" i="2"/>
  <c r="S19" i="2"/>
  <c r="Z11" i="2"/>
  <c r="F5" i="5"/>
  <c r="F8" i="5" s="1"/>
  <c r="AA6" i="2"/>
  <c r="AA7" i="2"/>
  <c r="AA8" i="2"/>
  <c r="AA5" i="2"/>
  <c r="AA11" i="2" s="1"/>
  <c r="R7" i="2"/>
  <c r="R8" i="2"/>
  <c r="R9" i="2"/>
  <c r="R10" i="2"/>
  <c r="R11" i="2"/>
  <c r="R12" i="2"/>
  <c r="R13" i="2"/>
  <c r="R6" i="2"/>
  <c r="V115"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6" i="2"/>
  <c r="S17" i="2"/>
  <c r="S18"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6" i="2"/>
  <c r="D16" i="2"/>
  <c r="C35" i="5"/>
  <c r="C36" i="5" s="1"/>
  <c r="C38" i="5" s="1"/>
  <c r="D38" i="5" s="1"/>
  <c r="C37" i="6" l="1"/>
  <c r="F43" i="6" s="1"/>
  <c r="F7" i="6"/>
  <c r="C38" i="6"/>
  <c r="D38" i="6" s="1"/>
  <c r="D16" i="6"/>
  <c r="C17" i="6"/>
  <c r="B27" i="6"/>
  <c r="C20" i="6" s="1"/>
  <c r="F8" i="6"/>
  <c r="D18" i="6"/>
  <c r="F10" i="6"/>
  <c r="D36" i="6"/>
  <c r="D36" i="5"/>
  <c r="D35" i="5"/>
  <c r="F42" i="5"/>
  <c r="C17" i="5"/>
  <c r="D17" i="5" s="1"/>
  <c r="C37" i="5"/>
  <c r="D37" i="5" s="1"/>
  <c r="L109" i="2"/>
  <c r="L101" i="2"/>
  <c r="L93" i="2"/>
  <c r="L85" i="2"/>
  <c r="L77" i="2"/>
  <c r="L69" i="2"/>
  <c r="L61" i="2"/>
  <c r="L53" i="2"/>
  <c r="L45" i="2"/>
  <c r="L37" i="2"/>
  <c r="L29" i="2"/>
  <c r="L21" i="2"/>
  <c r="L44" i="2"/>
  <c r="L20" i="2"/>
  <c r="L115" i="2"/>
  <c r="L107" i="2"/>
  <c r="L99" i="2"/>
  <c r="L91" i="2"/>
  <c r="L83" i="2"/>
  <c r="L75" i="2"/>
  <c r="L67" i="2"/>
  <c r="L59" i="2"/>
  <c r="L51" i="2"/>
  <c r="L43" i="2"/>
  <c r="L35" i="2"/>
  <c r="L27" i="2"/>
  <c r="L19" i="2"/>
  <c r="L114" i="2"/>
  <c r="L106" i="2"/>
  <c r="L98" i="2"/>
  <c r="L90" i="2"/>
  <c r="L82" i="2"/>
  <c r="L74" i="2"/>
  <c r="L66" i="2"/>
  <c r="L58" i="2"/>
  <c r="L50" i="2"/>
  <c r="L42" i="2"/>
  <c r="L34" i="2"/>
  <c r="L26" i="2"/>
  <c r="L18" i="2"/>
  <c r="L117" i="2" s="1"/>
  <c r="L113" i="2"/>
  <c r="L105" i="2"/>
  <c r="L97" i="2"/>
  <c r="L89" i="2"/>
  <c r="L81" i="2"/>
  <c r="L73" i="2"/>
  <c r="L65" i="2"/>
  <c r="L57" i="2"/>
  <c r="L49" i="2"/>
  <c r="L41" i="2"/>
  <c r="L33" i="2"/>
  <c r="L25" i="2"/>
  <c r="L17" i="2"/>
  <c r="L111" i="2"/>
  <c r="L103" i="2"/>
  <c r="L95" i="2"/>
  <c r="L87" i="2"/>
  <c r="L79" i="2"/>
  <c r="L71" i="2"/>
  <c r="L63" i="2"/>
  <c r="L55" i="2"/>
  <c r="L47" i="2"/>
  <c r="L39" i="2"/>
  <c r="L31" i="2"/>
  <c r="L23" i="2"/>
  <c r="G24" i="2"/>
  <c r="I32" i="2"/>
  <c r="G16" i="2"/>
  <c r="G32" i="2"/>
  <c r="I16" i="2"/>
  <c r="J16" i="2" s="1"/>
  <c r="H28" i="2"/>
  <c r="I24" i="2" s="1"/>
  <c r="J24" i="2" s="1"/>
  <c r="F117" i="2"/>
  <c r="W16" i="2"/>
  <c r="S117" i="2"/>
  <c r="W32" i="2"/>
  <c r="W24" i="2"/>
  <c r="R14" i="2"/>
  <c r="V116" i="2"/>
  <c r="C16" i="5"/>
  <c r="F9" i="5"/>
  <c r="F7" i="5"/>
  <c r="F6" i="5"/>
  <c r="C35" i="6" l="1"/>
  <c r="C39" i="6"/>
  <c r="D39" i="6" s="1"/>
  <c r="D42" i="6" s="1"/>
  <c r="D37" i="6"/>
  <c r="F11" i="6"/>
  <c r="C19" i="6"/>
  <c r="D19" i="6" s="1"/>
  <c r="C15" i="6"/>
  <c r="H15" i="6" s="1"/>
  <c r="C22" i="6"/>
  <c r="B28" i="6"/>
  <c r="C21" i="6" s="1"/>
  <c r="F20" i="6" s="1"/>
  <c r="F23" i="6"/>
  <c r="D17" i="6"/>
  <c r="C42" i="6"/>
  <c r="D20" i="6"/>
  <c r="C14" i="5"/>
  <c r="F22" i="5"/>
  <c r="D16" i="5"/>
  <c r="D41" i="5"/>
  <c r="C41" i="5"/>
  <c r="F37" i="5"/>
  <c r="C18" i="5"/>
  <c r="C21" i="5" s="1"/>
  <c r="K16" i="2"/>
  <c r="M16" i="2" s="1"/>
  <c r="H117" i="2"/>
  <c r="J32" i="2"/>
  <c r="C34" i="5"/>
  <c r="B26" i="5"/>
  <c r="C19" i="5" s="1"/>
  <c r="D19" i="5" s="1"/>
  <c r="F10" i="5"/>
  <c r="BJ99" i="4"/>
  <c r="BW5" i="4"/>
  <c r="BW6" i="4"/>
  <c r="BW7" i="4"/>
  <c r="BW8" i="4"/>
  <c r="BW9" i="4"/>
  <c r="BW10" i="4"/>
  <c r="BW11" i="4"/>
  <c r="BW12" i="4"/>
  <c r="BW13" i="4"/>
  <c r="BW14" i="4"/>
  <c r="BW15" i="4"/>
  <c r="BW4" i="4"/>
  <c r="BV5" i="4"/>
  <c r="BV6" i="4"/>
  <c r="BV7" i="4"/>
  <c r="BV8" i="4"/>
  <c r="BV9" i="4"/>
  <c r="BV10" i="4"/>
  <c r="BV11" i="4"/>
  <c r="BV12" i="4"/>
  <c r="BV13" i="4"/>
  <c r="BV14" i="4"/>
  <c r="BV15" i="4"/>
  <c r="BV4" i="4"/>
  <c r="BT5" i="4"/>
  <c r="BT6" i="4"/>
  <c r="BT7" i="4"/>
  <c r="BT8" i="4"/>
  <c r="BT9" i="4"/>
  <c r="BT10" i="4"/>
  <c r="BT11" i="4"/>
  <c r="BT12" i="4"/>
  <c r="BT13" i="4"/>
  <c r="BT14" i="4"/>
  <c r="BT15" i="4"/>
  <c r="BT4" i="4"/>
  <c r="BR5" i="4"/>
  <c r="BR6" i="4"/>
  <c r="BR7" i="4"/>
  <c r="BR8" i="4"/>
  <c r="BR9" i="4"/>
  <c r="BR10" i="4"/>
  <c r="BR11" i="4"/>
  <c r="BR12" i="4"/>
  <c r="BR13" i="4"/>
  <c r="BR14" i="4"/>
  <c r="BR15" i="4"/>
  <c r="BR4" i="4"/>
  <c r="BH5" i="4"/>
  <c r="BH6" i="4"/>
  <c r="BM6" i="4" s="1"/>
  <c r="BH7" i="4"/>
  <c r="BL7" i="4" s="1"/>
  <c r="BH8" i="4"/>
  <c r="BH9" i="4"/>
  <c r="BH10" i="4"/>
  <c r="BH11" i="4"/>
  <c r="BH12" i="4"/>
  <c r="BL12" i="4" s="1"/>
  <c r="BH13" i="4"/>
  <c r="BH14" i="4"/>
  <c r="BM14" i="4" s="1"/>
  <c r="BH15" i="4"/>
  <c r="BL15" i="4" s="1"/>
  <c r="BH16" i="4"/>
  <c r="BH17" i="4"/>
  <c r="BH18" i="4"/>
  <c r="BH19" i="4"/>
  <c r="BH20" i="4"/>
  <c r="BL20" i="4" s="1"/>
  <c r="BH21" i="4"/>
  <c r="BH22" i="4"/>
  <c r="BM22" i="4" s="1"/>
  <c r="BH23" i="4"/>
  <c r="BL23" i="4" s="1"/>
  <c r="BH24" i="4"/>
  <c r="BH25" i="4"/>
  <c r="BH26" i="4"/>
  <c r="BH27" i="4"/>
  <c r="BH28" i="4"/>
  <c r="BL28" i="4" s="1"/>
  <c r="BH29" i="4"/>
  <c r="BH30" i="4"/>
  <c r="BM30" i="4" s="1"/>
  <c r="BH31" i="4"/>
  <c r="BL31" i="4" s="1"/>
  <c r="BH32" i="4"/>
  <c r="BH33" i="4"/>
  <c r="BH34" i="4"/>
  <c r="BH35" i="4"/>
  <c r="BH36" i="4"/>
  <c r="BL36" i="4" s="1"/>
  <c r="BH37" i="4"/>
  <c r="BH38" i="4"/>
  <c r="BM38" i="4" s="1"/>
  <c r="BH39" i="4"/>
  <c r="BL39" i="4" s="1"/>
  <c r="BH40" i="4"/>
  <c r="BH41" i="4"/>
  <c r="BH42" i="4"/>
  <c r="BH43" i="4"/>
  <c r="BH44" i="4"/>
  <c r="BL44" i="4" s="1"/>
  <c r="BH45" i="4"/>
  <c r="BH46" i="4"/>
  <c r="BM46" i="4" s="1"/>
  <c r="BH47" i="4"/>
  <c r="BL47" i="4" s="1"/>
  <c r="BH48" i="4"/>
  <c r="BH49" i="4"/>
  <c r="BH50" i="4"/>
  <c r="BH51" i="4"/>
  <c r="BH52" i="4"/>
  <c r="BL52" i="4" s="1"/>
  <c r="BH53" i="4"/>
  <c r="BH54" i="4"/>
  <c r="BM54" i="4" s="1"/>
  <c r="BH55" i="4"/>
  <c r="BL55" i="4" s="1"/>
  <c r="BH56" i="4"/>
  <c r="BH57" i="4"/>
  <c r="BH58" i="4"/>
  <c r="BH59" i="4"/>
  <c r="BH60" i="4"/>
  <c r="BL60" i="4" s="1"/>
  <c r="BH61" i="4"/>
  <c r="BH62" i="4"/>
  <c r="BM62" i="4" s="1"/>
  <c r="BH63" i="4"/>
  <c r="BL63" i="4" s="1"/>
  <c r="BH64" i="4"/>
  <c r="BH65" i="4"/>
  <c r="BH66" i="4"/>
  <c r="BH67" i="4"/>
  <c r="BH68" i="4"/>
  <c r="BL68" i="4" s="1"/>
  <c r="BH69" i="4"/>
  <c r="BH70" i="4"/>
  <c r="BM70" i="4" s="1"/>
  <c r="BH71" i="4"/>
  <c r="BL71" i="4" s="1"/>
  <c r="BH72" i="4"/>
  <c r="BH73" i="4"/>
  <c r="BH74" i="4"/>
  <c r="BH75" i="4"/>
  <c r="BH76" i="4"/>
  <c r="BL76" i="4" s="1"/>
  <c r="BH77" i="4"/>
  <c r="BH78" i="4"/>
  <c r="BM78" i="4" s="1"/>
  <c r="BH79" i="4"/>
  <c r="BL79" i="4" s="1"/>
  <c r="BH80" i="4"/>
  <c r="BH81" i="4"/>
  <c r="BH82" i="4"/>
  <c r="BH83" i="4"/>
  <c r="BH84" i="4"/>
  <c r="BL84" i="4" s="1"/>
  <c r="BH85" i="4"/>
  <c r="BH86" i="4"/>
  <c r="BM86" i="4" s="1"/>
  <c r="BH87" i="4"/>
  <c r="BL87" i="4" s="1"/>
  <c r="BH88" i="4"/>
  <c r="BH89" i="4"/>
  <c r="BH90" i="4"/>
  <c r="BH91" i="4"/>
  <c r="BH92" i="4"/>
  <c r="BL92" i="4" s="1"/>
  <c r="BH93" i="4"/>
  <c r="BH94" i="4"/>
  <c r="BM94" i="4" s="1"/>
  <c r="BH95" i="4"/>
  <c r="BL95" i="4" s="1"/>
  <c r="BH96" i="4"/>
  <c r="BH97" i="4"/>
  <c r="BH98" i="4"/>
  <c r="BH99" i="4"/>
  <c r="BH100" i="4"/>
  <c r="BL100" i="4" s="1"/>
  <c r="BH101" i="4"/>
  <c r="BH102" i="4"/>
  <c r="BM102" i="4" s="1"/>
  <c r="BH103" i="4"/>
  <c r="BL103" i="4" s="1"/>
  <c r="BH104" i="4"/>
  <c r="BH105" i="4"/>
  <c r="BH106" i="4"/>
  <c r="BH107" i="4"/>
  <c r="BH108" i="4"/>
  <c r="BL108" i="4" s="1"/>
  <c r="BH109" i="4"/>
  <c r="BH110" i="4"/>
  <c r="BM110" i="4" s="1"/>
  <c r="BH111" i="4"/>
  <c r="BL111" i="4" s="1"/>
  <c r="BH112" i="4"/>
  <c r="BH113" i="4"/>
  <c r="BH114" i="4"/>
  <c r="BH115" i="4"/>
  <c r="BH116" i="4"/>
  <c r="BL116" i="4" s="1"/>
  <c r="BH117" i="4"/>
  <c r="BH118" i="4"/>
  <c r="BM118" i="4" s="1"/>
  <c r="BH119" i="4"/>
  <c r="BL119" i="4" s="1"/>
  <c r="BH120" i="4"/>
  <c r="BH121" i="4"/>
  <c r="BH122" i="4"/>
  <c r="BH123" i="4"/>
  <c r="BH124" i="4"/>
  <c r="BL124" i="4" s="1"/>
  <c r="BH125" i="4"/>
  <c r="BH126" i="4"/>
  <c r="BM126" i="4" s="1"/>
  <c r="BH127" i="4"/>
  <c r="BL127" i="4" s="1"/>
  <c r="BH128" i="4"/>
  <c r="BH129" i="4"/>
  <c r="BH130" i="4"/>
  <c r="BH131" i="4"/>
  <c r="BH132" i="4"/>
  <c r="BL132" i="4" s="1"/>
  <c r="BH133" i="4"/>
  <c r="BH134" i="4"/>
  <c r="BM134" i="4" s="1"/>
  <c r="BH135" i="4"/>
  <c r="BL135" i="4" s="1"/>
  <c r="BH136" i="4"/>
  <c r="BH137" i="4"/>
  <c r="BH138" i="4"/>
  <c r="BH139" i="4"/>
  <c r="BH140" i="4"/>
  <c r="BL140" i="4" s="1"/>
  <c r="BH141" i="4"/>
  <c r="BH142" i="4"/>
  <c r="BM142" i="4" s="1"/>
  <c r="BH143" i="4"/>
  <c r="BL143" i="4" s="1"/>
  <c r="BH144" i="4"/>
  <c r="BH145" i="4"/>
  <c r="BH146" i="4"/>
  <c r="BH147" i="4"/>
  <c r="BH148" i="4"/>
  <c r="BL148" i="4" s="1"/>
  <c r="BH149" i="4"/>
  <c r="BH150" i="4"/>
  <c r="BM150" i="4" s="1"/>
  <c r="BH151" i="4"/>
  <c r="BL151" i="4" s="1"/>
  <c r="BH152" i="4"/>
  <c r="BH153" i="4"/>
  <c r="BH154" i="4"/>
  <c r="BH155" i="4"/>
  <c r="BH156" i="4"/>
  <c r="BL156" i="4" s="1"/>
  <c r="BH157" i="4"/>
  <c r="BH158" i="4"/>
  <c r="BM158" i="4" s="1"/>
  <c r="BH159" i="4"/>
  <c r="BL159" i="4" s="1"/>
  <c r="BH4" i="4"/>
  <c r="BM5" i="4"/>
  <c r="BM7" i="4"/>
  <c r="BM8" i="4"/>
  <c r="BM9" i="4"/>
  <c r="BM10" i="4"/>
  <c r="BM11" i="4"/>
  <c r="BM13" i="4"/>
  <c r="BM15" i="4"/>
  <c r="BM16" i="4"/>
  <c r="BM17" i="4"/>
  <c r="BM18" i="4"/>
  <c r="BM19" i="4"/>
  <c r="BM21" i="4"/>
  <c r="BM23" i="4"/>
  <c r="BM24" i="4"/>
  <c r="BM25" i="4"/>
  <c r="BM26" i="4"/>
  <c r="BM27" i="4"/>
  <c r="BM29" i="4"/>
  <c r="BM31" i="4"/>
  <c r="BM32" i="4"/>
  <c r="BM33" i="4"/>
  <c r="BM34" i="4"/>
  <c r="BM35" i="4"/>
  <c r="BM37" i="4"/>
  <c r="BM39" i="4"/>
  <c r="BM40" i="4"/>
  <c r="BM41" i="4"/>
  <c r="BM42" i="4"/>
  <c r="BM43" i="4"/>
  <c r="BM45" i="4"/>
  <c r="BM47" i="4"/>
  <c r="BM48" i="4"/>
  <c r="BM49" i="4"/>
  <c r="BM50" i="4"/>
  <c r="BM51" i="4"/>
  <c r="BM53" i="4"/>
  <c r="BM55" i="4"/>
  <c r="BM56" i="4"/>
  <c r="BM57" i="4"/>
  <c r="BM58" i="4"/>
  <c r="BM59" i="4"/>
  <c r="BM61" i="4"/>
  <c r="BM63" i="4"/>
  <c r="BM64" i="4"/>
  <c r="BM65" i="4"/>
  <c r="BM66" i="4"/>
  <c r="BM67" i="4"/>
  <c r="BM69" i="4"/>
  <c r="BM71" i="4"/>
  <c r="BM72" i="4"/>
  <c r="BM73" i="4"/>
  <c r="BM74" i="4"/>
  <c r="BM75" i="4"/>
  <c r="BM77" i="4"/>
  <c r="BM79" i="4"/>
  <c r="BM80" i="4"/>
  <c r="BM81" i="4"/>
  <c r="BM82" i="4"/>
  <c r="BM83" i="4"/>
  <c r="BM85" i="4"/>
  <c r="BM87" i="4"/>
  <c r="BM88" i="4"/>
  <c r="BM89" i="4"/>
  <c r="BM90" i="4"/>
  <c r="BM91" i="4"/>
  <c r="BM93" i="4"/>
  <c r="BM95" i="4"/>
  <c r="BM96" i="4"/>
  <c r="BM97" i="4"/>
  <c r="BM98" i="4"/>
  <c r="BM99" i="4"/>
  <c r="BM101" i="4"/>
  <c r="BM103" i="4"/>
  <c r="BM104" i="4"/>
  <c r="BM105" i="4"/>
  <c r="BM106" i="4"/>
  <c r="BM107" i="4"/>
  <c r="BM109" i="4"/>
  <c r="BM111" i="4"/>
  <c r="BM112" i="4"/>
  <c r="BM113" i="4"/>
  <c r="BM114" i="4"/>
  <c r="BM115" i="4"/>
  <c r="BM117" i="4"/>
  <c r="BM119" i="4"/>
  <c r="BM120" i="4"/>
  <c r="BM121" i="4"/>
  <c r="BM122" i="4"/>
  <c r="BM123" i="4"/>
  <c r="BM125" i="4"/>
  <c r="BM127" i="4"/>
  <c r="BM128" i="4"/>
  <c r="BM129" i="4"/>
  <c r="BM130" i="4"/>
  <c r="BM131" i="4"/>
  <c r="BM133" i="4"/>
  <c r="BM135" i="4"/>
  <c r="BM136" i="4"/>
  <c r="BM137" i="4"/>
  <c r="BM138" i="4"/>
  <c r="BM139" i="4"/>
  <c r="BM141" i="4"/>
  <c r="BM143" i="4"/>
  <c r="BM144" i="4"/>
  <c r="BM145" i="4"/>
  <c r="BM146" i="4"/>
  <c r="BM147" i="4"/>
  <c r="BM149" i="4"/>
  <c r="BM151" i="4"/>
  <c r="BM152" i="4"/>
  <c r="BM153" i="4"/>
  <c r="BM154" i="4"/>
  <c r="BM155" i="4"/>
  <c r="BM157" i="4"/>
  <c r="BM159" i="4"/>
  <c r="BM4" i="4"/>
  <c r="BL5" i="4"/>
  <c r="BL6" i="4"/>
  <c r="BL8" i="4"/>
  <c r="BL9" i="4"/>
  <c r="BL10" i="4"/>
  <c r="BL11" i="4"/>
  <c r="BL13" i="4"/>
  <c r="BL14" i="4"/>
  <c r="BL16" i="4"/>
  <c r="BL17" i="4"/>
  <c r="BL18" i="4"/>
  <c r="BL19" i="4"/>
  <c r="BL21" i="4"/>
  <c r="BL22" i="4"/>
  <c r="BL24" i="4"/>
  <c r="BL25" i="4"/>
  <c r="BL26" i="4"/>
  <c r="BL27" i="4"/>
  <c r="BL29" i="4"/>
  <c r="BL30" i="4"/>
  <c r="BL32" i="4"/>
  <c r="BL33" i="4"/>
  <c r="BL34" i="4"/>
  <c r="BL35" i="4"/>
  <c r="BL37" i="4"/>
  <c r="BL38" i="4"/>
  <c r="BL40" i="4"/>
  <c r="BL41" i="4"/>
  <c r="BL42" i="4"/>
  <c r="BL43" i="4"/>
  <c r="BL45" i="4"/>
  <c r="BL46" i="4"/>
  <c r="BL48" i="4"/>
  <c r="BL49" i="4"/>
  <c r="BL50" i="4"/>
  <c r="BL51" i="4"/>
  <c r="BL53" i="4"/>
  <c r="BL54" i="4"/>
  <c r="BL56" i="4"/>
  <c r="BL57" i="4"/>
  <c r="BL58" i="4"/>
  <c r="BL59" i="4"/>
  <c r="BL61" i="4"/>
  <c r="BL62" i="4"/>
  <c r="BL64" i="4"/>
  <c r="BL65" i="4"/>
  <c r="BL66" i="4"/>
  <c r="BL67" i="4"/>
  <c r="BL69" i="4"/>
  <c r="BL70" i="4"/>
  <c r="BL72" i="4"/>
  <c r="BL73" i="4"/>
  <c r="BL74" i="4"/>
  <c r="BL75" i="4"/>
  <c r="BL77" i="4"/>
  <c r="BL78" i="4"/>
  <c r="BL80" i="4"/>
  <c r="BL81" i="4"/>
  <c r="BL82" i="4"/>
  <c r="BL83" i="4"/>
  <c r="BL85" i="4"/>
  <c r="BL86" i="4"/>
  <c r="BL88" i="4"/>
  <c r="BL89" i="4"/>
  <c r="BL90" i="4"/>
  <c r="BL91" i="4"/>
  <c r="BL93" i="4"/>
  <c r="BL94" i="4"/>
  <c r="BL96" i="4"/>
  <c r="BL97" i="4"/>
  <c r="BL98" i="4"/>
  <c r="BL99" i="4"/>
  <c r="BL101" i="4"/>
  <c r="BL102" i="4"/>
  <c r="BL104" i="4"/>
  <c r="BL105" i="4"/>
  <c r="BL106" i="4"/>
  <c r="BL107" i="4"/>
  <c r="BL109" i="4"/>
  <c r="BL110" i="4"/>
  <c r="BL112" i="4"/>
  <c r="BL113" i="4"/>
  <c r="BL114" i="4"/>
  <c r="BL115" i="4"/>
  <c r="BL117" i="4"/>
  <c r="BL118" i="4"/>
  <c r="BL120" i="4"/>
  <c r="BL121" i="4"/>
  <c r="BL122" i="4"/>
  <c r="BL123" i="4"/>
  <c r="BL125" i="4"/>
  <c r="BL126" i="4"/>
  <c r="BL128" i="4"/>
  <c r="BL129" i="4"/>
  <c r="BL130" i="4"/>
  <c r="BL131" i="4"/>
  <c r="BL133" i="4"/>
  <c r="BL134" i="4"/>
  <c r="BL136" i="4"/>
  <c r="BL137" i="4"/>
  <c r="BL138" i="4"/>
  <c r="BL139" i="4"/>
  <c r="BL141" i="4"/>
  <c r="BL142" i="4"/>
  <c r="BL144" i="4"/>
  <c r="BL145" i="4"/>
  <c r="BL146" i="4"/>
  <c r="BL147" i="4"/>
  <c r="BL149" i="4"/>
  <c r="BL150" i="4"/>
  <c r="BL152" i="4"/>
  <c r="BL153" i="4"/>
  <c r="BL154" i="4"/>
  <c r="BL155" i="4"/>
  <c r="BL157" i="4"/>
  <c r="BL158" i="4"/>
  <c r="BL4" i="4"/>
  <c r="BJ5" i="4"/>
  <c r="BJ6" i="4"/>
  <c r="BJ7" i="4"/>
  <c r="BJ8" i="4"/>
  <c r="BJ9" i="4"/>
  <c r="BJ10" i="4"/>
  <c r="BJ11" i="4"/>
  <c r="BJ12" i="4"/>
  <c r="BJ13" i="4"/>
  <c r="BJ14" i="4"/>
  <c r="BJ15" i="4"/>
  <c r="BJ16" i="4"/>
  <c r="BJ17" i="4"/>
  <c r="BJ18" i="4"/>
  <c r="BJ19" i="4"/>
  <c r="BJ20" i="4"/>
  <c r="BJ21" i="4"/>
  <c r="BJ22" i="4"/>
  <c r="BJ23" i="4"/>
  <c r="BJ24" i="4"/>
  <c r="BJ25" i="4"/>
  <c r="BJ26" i="4"/>
  <c r="BJ27" i="4"/>
  <c r="BJ28" i="4"/>
  <c r="BJ29" i="4"/>
  <c r="BJ30" i="4"/>
  <c r="BJ31" i="4"/>
  <c r="BJ32" i="4"/>
  <c r="BJ33" i="4"/>
  <c r="BJ34" i="4"/>
  <c r="BJ35" i="4"/>
  <c r="BJ36" i="4"/>
  <c r="BJ37" i="4"/>
  <c r="BJ38" i="4"/>
  <c r="BJ39" i="4"/>
  <c r="BJ40" i="4"/>
  <c r="BJ41" i="4"/>
  <c r="BJ42" i="4"/>
  <c r="BJ43" i="4"/>
  <c r="BJ44" i="4"/>
  <c r="BJ45" i="4"/>
  <c r="BJ46" i="4"/>
  <c r="BJ47" i="4"/>
  <c r="BJ48" i="4"/>
  <c r="BJ49" i="4"/>
  <c r="BJ50" i="4"/>
  <c r="BJ51" i="4"/>
  <c r="BJ52" i="4"/>
  <c r="BJ53" i="4"/>
  <c r="BJ54" i="4"/>
  <c r="BJ55" i="4"/>
  <c r="BJ56" i="4"/>
  <c r="BJ57" i="4"/>
  <c r="BJ58" i="4"/>
  <c r="BJ59" i="4"/>
  <c r="BJ60" i="4"/>
  <c r="BJ61" i="4"/>
  <c r="BJ62" i="4"/>
  <c r="BJ63" i="4"/>
  <c r="BJ64" i="4"/>
  <c r="BJ65" i="4"/>
  <c r="BJ66" i="4"/>
  <c r="BJ67" i="4"/>
  <c r="BJ68" i="4"/>
  <c r="BJ69" i="4"/>
  <c r="BJ70" i="4"/>
  <c r="BJ71" i="4"/>
  <c r="BJ72" i="4"/>
  <c r="BJ73" i="4"/>
  <c r="BJ74" i="4"/>
  <c r="BJ75" i="4"/>
  <c r="BJ76" i="4"/>
  <c r="BJ77" i="4"/>
  <c r="BJ78" i="4"/>
  <c r="BJ79" i="4"/>
  <c r="BJ80" i="4"/>
  <c r="BJ81" i="4"/>
  <c r="BJ82" i="4"/>
  <c r="BJ83" i="4"/>
  <c r="BJ84" i="4"/>
  <c r="BJ85" i="4"/>
  <c r="BJ86" i="4"/>
  <c r="BJ87" i="4"/>
  <c r="BJ88" i="4"/>
  <c r="BJ89" i="4"/>
  <c r="BJ90" i="4"/>
  <c r="BJ91" i="4"/>
  <c r="BJ92" i="4"/>
  <c r="BJ93" i="4"/>
  <c r="BJ94" i="4"/>
  <c r="BJ95" i="4"/>
  <c r="BJ96" i="4"/>
  <c r="BJ97" i="4"/>
  <c r="BJ98" i="4"/>
  <c r="BJ100" i="4"/>
  <c r="BJ101" i="4"/>
  <c r="BJ102" i="4"/>
  <c r="BJ103" i="4"/>
  <c r="BJ104" i="4"/>
  <c r="BJ105" i="4"/>
  <c r="BJ106" i="4"/>
  <c r="BJ107" i="4"/>
  <c r="BJ108" i="4"/>
  <c r="BJ109" i="4"/>
  <c r="BJ110" i="4"/>
  <c r="BJ111" i="4"/>
  <c r="BJ112" i="4"/>
  <c r="BJ113" i="4"/>
  <c r="BJ114" i="4"/>
  <c r="BJ115" i="4"/>
  <c r="BJ116" i="4"/>
  <c r="BJ117" i="4"/>
  <c r="BJ118" i="4"/>
  <c r="BJ119" i="4"/>
  <c r="BJ120" i="4"/>
  <c r="BJ121" i="4"/>
  <c r="BJ122" i="4"/>
  <c r="BJ123" i="4"/>
  <c r="BJ124" i="4"/>
  <c r="BJ125" i="4"/>
  <c r="BJ126" i="4"/>
  <c r="BJ127" i="4"/>
  <c r="BJ128" i="4"/>
  <c r="BJ129" i="4"/>
  <c r="BJ130" i="4"/>
  <c r="BJ131" i="4"/>
  <c r="BJ132" i="4"/>
  <c r="BJ133" i="4"/>
  <c r="BJ134" i="4"/>
  <c r="BJ135" i="4"/>
  <c r="BJ136" i="4"/>
  <c r="BJ137" i="4"/>
  <c r="BJ138" i="4"/>
  <c r="BJ139" i="4"/>
  <c r="BJ140" i="4"/>
  <c r="BJ141" i="4"/>
  <c r="BJ142" i="4"/>
  <c r="BJ143" i="4"/>
  <c r="BJ144" i="4"/>
  <c r="BJ145" i="4"/>
  <c r="BJ146" i="4"/>
  <c r="BJ147" i="4"/>
  <c r="BJ148" i="4"/>
  <c r="BJ149" i="4"/>
  <c r="BJ150" i="4"/>
  <c r="BJ151" i="4"/>
  <c r="BJ152" i="4"/>
  <c r="BJ153" i="4"/>
  <c r="BJ154" i="4"/>
  <c r="BJ155" i="4"/>
  <c r="BJ156" i="4"/>
  <c r="BJ157" i="4"/>
  <c r="BJ158" i="4"/>
  <c r="BJ159" i="4"/>
  <c r="BJ4" i="4"/>
  <c r="F38" i="6" l="1"/>
  <c r="F18" i="6"/>
  <c r="D22" i="6"/>
  <c r="H16" i="6"/>
  <c r="G23" i="6"/>
  <c r="F24" i="6" s="1"/>
  <c r="F25" i="6" s="1"/>
  <c r="L22" i="6"/>
  <c r="L41" i="6"/>
  <c r="D21" i="6"/>
  <c r="D23" i="6" s="1"/>
  <c r="C23" i="6"/>
  <c r="H14" i="5"/>
  <c r="L40" i="5" s="1"/>
  <c r="F17" i="5"/>
  <c r="D18" i="5"/>
  <c r="D21" i="5" s="1"/>
  <c r="B27" i="5"/>
  <c r="C20" i="5" s="1"/>
  <c r="N32" i="2"/>
  <c r="BM156" i="4"/>
  <c r="BM148" i="4"/>
  <c r="BM140" i="4"/>
  <c r="BM132" i="4"/>
  <c r="BM124" i="4"/>
  <c r="BM116" i="4"/>
  <c r="BM108" i="4"/>
  <c r="BM100" i="4"/>
  <c r="BM92" i="4"/>
  <c r="BM84" i="4"/>
  <c r="BM76" i="4"/>
  <c r="BM68" i="4"/>
  <c r="BM60" i="4"/>
  <c r="BM52" i="4"/>
  <c r="BM44" i="4"/>
  <c r="BM36" i="4"/>
  <c r="BM28" i="4"/>
  <c r="BM20" i="4"/>
  <c r="BM12" i="4"/>
  <c r="H17" i="6" l="1"/>
  <c r="L21" i="6"/>
  <c r="N21" i="6" s="1"/>
  <c r="L35" i="6"/>
  <c r="L37" i="6"/>
  <c r="R37" i="6" s="1"/>
  <c r="R43" i="6" s="1"/>
  <c r="L19" i="6"/>
  <c r="R19" i="6" s="1"/>
  <c r="L18" i="6"/>
  <c r="M18" i="6" s="1"/>
  <c r="L16" i="6"/>
  <c r="R16" i="6" s="1"/>
  <c r="X16" i="6" s="1"/>
  <c r="Y35" i="6" s="1"/>
  <c r="L40" i="6"/>
  <c r="N40" i="6" s="1"/>
  <c r="C27" i="6"/>
  <c r="D27" i="6" s="1"/>
  <c r="E27" i="6" s="1"/>
  <c r="L21" i="5"/>
  <c r="M21" i="6"/>
  <c r="M35" i="6"/>
  <c r="R35" i="6"/>
  <c r="R41" i="6" s="1"/>
  <c r="E20" i="6"/>
  <c r="E18" i="6"/>
  <c r="E16" i="6"/>
  <c r="L36" i="6"/>
  <c r="L17" i="6"/>
  <c r="C28" i="6"/>
  <c r="D28" i="6" s="1"/>
  <c r="E28" i="6" s="1"/>
  <c r="L38" i="6"/>
  <c r="C22" i="5"/>
  <c r="E17" i="5" s="1"/>
  <c r="D20" i="5"/>
  <c r="D22" i="5" s="1"/>
  <c r="H15" i="5"/>
  <c r="F19" i="5"/>
  <c r="AW5" i="4"/>
  <c r="AW6" i="4"/>
  <c r="AW7" i="4"/>
  <c r="AW8" i="4"/>
  <c r="AW9" i="4"/>
  <c r="AW10" i="4"/>
  <c r="AW11" i="4"/>
  <c r="AW12" i="4"/>
  <c r="AW13" i="4"/>
  <c r="AW14" i="4"/>
  <c r="AW15" i="4"/>
  <c r="AW16" i="4"/>
  <c r="AW17" i="4"/>
  <c r="AW18" i="4"/>
  <c r="AW19" i="4"/>
  <c r="AW20" i="4"/>
  <c r="AW21" i="4"/>
  <c r="AW22" i="4"/>
  <c r="AW23" i="4"/>
  <c r="AW24" i="4"/>
  <c r="AW25" i="4"/>
  <c r="AW26" i="4"/>
  <c r="AW27" i="4"/>
  <c r="AW28" i="4"/>
  <c r="AW29" i="4"/>
  <c r="AW30" i="4"/>
  <c r="AW31" i="4"/>
  <c r="AW32" i="4"/>
  <c r="AW33" i="4"/>
  <c r="AW34" i="4"/>
  <c r="AW35" i="4"/>
  <c r="AW36" i="4"/>
  <c r="AW37" i="4"/>
  <c r="AW38" i="4"/>
  <c r="AW39" i="4"/>
  <c r="AW40" i="4"/>
  <c r="AW41" i="4"/>
  <c r="AW42" i="4"/>
  <c r="AW43" i="4"/>
  <c r="AW44" i="4"/>
  <c r="AW45" i="4"/>
  <c r="AW46" i="4"/>
  <c r="AW47" i="4"/>
  <c r="AW48" i="4"/>
  <c r="AW49" i="4"/>
  <c r="AW50" i="4"/>
  <c r="AW51" i="4"/>
  <c r="AW52" i="4"/>
  <c r="AW53" i="4"/>
  <c r="AW54" i="4"/>
  <c r="AW55" i="4"/>
  <c r="AW56" i="4"/>
  <c r="AW57" i="4"/>
  <c r="AW58" i="4"/>
  <c r="AW59" i="4"/>
  <c r="AW60" i="4"/>
  <c r="AW61" i="4"/>
  <c r="AW62" i="4"/>
  <c r="AW63" i="4"/>
  <c r="AW64" i="4"/>
  <c r="AW65" i="4"/>
  <c r="AW66" i="4"/>
  <c r="AW67" i="4"/>
  <c r="AW68" i="4"/>
  <c r="AW69" i="4"/>
  <c r="AW70" i="4"/>
  <c r="AW71" i="4"/>
  <c r="AW72" i="4"/>
  <c r="AW73" i="4"/>
  <c r="AW74" i="4"/>
  <c r="AW75" i="4"/>
  <c r="AW76" i="4"/>
  <c r="AW77" i="4"/>
  <c r="AW78" i="4"/>
  <c r="AW79" i="4"/>
  <c r="AW80" i="4"/>
  <c r="AW81" i="4"/>
  <c r="AW82" i="4"/>
  <c r="AW83" i="4"/>
  <c r="AW84" i="4"/>
  <c r="AW85" i="4"/>
  <c r="AW86" i="4"/>
  <c r="AW87" i="4"/>
  <c r="AW88" i="4"/>
  <c r="AW89" i="4"/>
  <c r="AW90" i="4"/>
  <c r="AW91" i="4"/>
  <c r="AW92" i="4"/>
  <c r="AW93" i="4"/>
  <c r="AW94" i="4"/>
  <c r="AW95" i="4"/>
  <c r="AW96" i="4"/>
  <c r="AW97" i="4"/>
  <c r="AW98" i="4"/>
  <c r="AW99" i="4"/>
  <c r="AW100" i="4"/>
  <c r="AW101" i="4"/>
  <c r="AW102" i="4"/>
  <c r="AW103" i="4"/>
  <c r="AW104" i="4"/>
  <c r="AW105" i="4"/>
  <c r="AW106" i="4"/>
  <c r="AW107" i="4"/>
  <c r="AW108" i="4"/>
  <c r="AW109" i="4"/>
  <c r="AW110" i="4"/>
  <c r="AW111" i="4"/>
  <c r="AW112" i="4"/>
  <c r="AW113" i="4"/>
  <c r="AW114" i="4"/>
  <c r="AW115" i="4"/>
  <c r="AW116" i="4"/>
  <c r="AW117" i="4"/>
  <c r="AW118" i="4"/>
  <c r="AW119" i="4"/>
  <c r="AW120" i="4"/>
  <c r="AW121" i="4"/>
  <c r="AW122" i="4"/>
  <c r="AW123" i="4"/>
  <c r="AW124" i="4"/>
  <c r="AW125" i="4"/>
  <c r="AW126" i="4"/>
  <c r="AW127" i="4"/>
  <c r="AW128" i="4"/>
  <c r="AW129" i="4"/>
  <c r="AW130" i="4"/>
  <c r="AW131" i="4"/>
  <c r="AW132" i="4"/>
  <c r="AW133" i="4"/>
  <c r="AW134" i="4"/>
  <c r="AW135" i="4"/>
  <c r="AW136" i="4"/>
  <c r="AW137" i="4"/>
  <c r="AW138" i="4"/>
  <c r="AW139" i="4"/>
  <c r="AW140" i="4"/>
  <c r="AW141" i="4"/>
  <c r="AW142" i="4"/>
  <c r="AW143" i="4"/>
  <c r="AW144" i="4"/>
  <c r="AW145" i="4"/>
  <c r="AW146" i="4"/>
  <c r="AW147" i="4"/>
  <c r="AW148" i="4"/>
  <c r="AW149" i="4"/>
  <c r="AW150" i="4"/>
  <c r="AW151" i="4"/>
  <c r="AW152" i="4"/>
  <c r="AW153" i="4"/>
  <c r="AW154" i="4"/>
  <c r="AW155" i="4"/>
  <c r="AW156" i="4"/>
  <c r="AW157" i="4"/>
  <c r="AW158" i="4"/>
  <c r="AW159" i="4"/>
  <c r="AW4" i="4"/>
  <c r="AU5" i="4"/>
  <c r="AZ5" i="4" s="1"/>
  <c r="AU6" i="4"/>
  <c r="AZ6" i="4" s="1"/>
  <c r="AU7" i="4"/>
  <c r="AY7" i="4" s="1"/>
  <c r="AU8" i="4"/>
  <c r="AY8" i="4" s="1"/>
  <c r="AU9" i="4"/>
  <c r="AY9" i="4" s="1"/>
  <c r="AU10" i="4"/>
  <c r="AU11" i="4"/>
  <c r="AZ11" i="4" s="1"/>
  <c r="AU12" i="4"/>
  <c r="AZ12" i="4" s="1"/>
  <c r="AU13" i="4"/>
  <c r="AZ13" i="4" s="1"/>
  <c r="AU14" i="4"/>
  <c r="AZ14" i="4" s="1"/>
  <c r="AU15" i="4"/>
  <c r="AY15" i="4" s="1"/>
  <c r="AU16" i="4"/>
  <c r="AY16" i="4" s="1"/>
  <c r="AU17" i="4"/>
  <c r="AY17" i="4" s="1"/>
  <c r="AU18" i="4"/>
  <c r="AU19" i="4"/>
  <c r="AZ19" i="4" s="1"/>
  <c r="AU20" i="4"/>
  <c r="AZ20" i="4" s="1"/>
  <c r="AU21" i="4"/>
  <c r="AZ21" i="4" s="1"/>
  <c r="AU22" i="4"/>
  <c r="AZ22" i="4" s="1"/>
  <c r="AU23" i="4"/>
  <c r="AY23" i="4" s="1"/>
  <c r="AU24" i="4"/>
  <c r="AY24" i="4" s="1"/>
  <c r="AU25" i="4"/>
  <c r="AY25" i="4" s="1"/>
  <c r="AU26" i="4"/>
  <c r="AU27" i="4"/>
  <c r="AZ27" i="4" s="1"/>
  <c r="AU28" i="4"/>
  <c r="AZ28" i="4" s="1"/>
  <c r="AU29" i="4"/>
  <c r="AZ29" i="4" s="1"/>
  <c r="AU30" i="4"/>
  <c r="AZ30" i="4" s="1"/>
  <c r="AU31" i="4"/>
  <c r="AY31" i="4" s="1"/>
  <c r="AU32" i="4"/>
  <c r="AY32" i="4" s="1"/>
  <c r="AU33" i="4"/>
  <c r="AY33" i="4" s="1"/>
  <c r="AU34" i="4"/>
  <c r="AU35" i="4"/>
  <c r="AZ35" i="4" s="1"/>
  <c r="AU36" i="4"/>
  <c r="AZ36" i="4" s="1"/>
  <c r="AU37" i="4"/>
  <c r="AZ37" i="4" s="1"/>
  <c r="AU38" i="4"/>
  <c r="AZ38" i="4" s="1"/>
  <c r="AU39" i="4"/>
  <c r="AY39" i="4" s="1"/>
  <c r="AU40" i="4"/>
  <c r="AY40" i="4" s="1"/>
  <c r="AU41" i="4"/>
  <c r="AY41" i="4" s="1"/>
  <c r="AU42" i="4"/>
  <c r="AY42" i="4" s="1"/>
  <c r="AU43" i="4"/>
  <c r="AZ43" i="4" s="1"/>
  <c r="AU44" i="4"/>
  <c r="AZ44" i="4" s="1"/>
  <c r="AU45" i="4"/>
  <c r="AZ45" i="4" s="1"/>
  <c r="AU46" i="4"/>
  <c r="AZ46" i="4" s="1"/>
  <c r="AU47" i="4"/>
  <c r="AY47" i="4" s="1"/>
  <c r="AU48" i="4"/>
  <c r="AY48" i="4" s="1"/>
  <c r="AU49" i="4"/>
  <c r="AY49" i="4" s="1"/>
  <c r="AU50" i="4"/>
  <c r="AY50" i="4" s="1"/>
  <c r="AU51" i="4"/>
  <c r="AZ51" i="4" s="1"/>
  <c r="AU52" i="4"/>
  <c r="AZ52" i="4" s="1"/>
  <c r="AU53" i="4"/>
  <c r="AZ53" i="4" s="1"/>
  <c r="AU54" i="4"/>
  <c r="AZ54" i="4" s="1"/>
  <c r="AU55" i="4"/>
  <c r="AY55" i="4" s="1"/>
  <c r="AU56" i="4"/>
  <c r="AY56" i="4" s="1"/>
  <c r="AU57" i="4"/>
  <c r="AY57" i="4" s="1"/>
  <c r="AU58" i="4"/>
  <c r="AY58" i="4" s="1"/>
  <c r="AU59" i="4"/>
  <c r="AZ59" i="4" s="1"/>
  <c r="AU60" i="4"/>
  <c r="AZ60" i="4" s="1"/>
  <c r="AU61" i="4"/>
  <c r="AZ61" i="4" s="1"/>
  <c r="AU62" i="4"/>
  <c r="AZ62" i="4" s="1"/>
  <c r="AU63" i="4"/>
  <c r="AY63" i="4" s="1"/>
  <c r="AU64" i="4"/>
  <c r="AY64" i="4" s="1"/>
  <c r="AU65" i="4"/>
  <c r="AY65" i="4" s="1"/>
  <c r="AU66" i="4"/>
  <c r="AY66" i="4" s="1"/>
  <c r="AU67" i="4"/>
  <c r="AZ67" i="4" s="1"/>
  <c r="AU68" i="4"/>
  <c r="AZ68" i="4" s="1"/>
  <c r="AU69" i="4"/>
  <c r="AZ69" i="4" s="1"/>
  <c r="AU70" i="4"/>
  <c r="AZ70" i="4" s="1"/>
  <c r="AU71" i="4"/>
  <c r="AY71" i="4" s="1"/>
  <c r="AU72" i="4"/>
  <c r="AY72" i="4" s="1"/>
  <c r="AU73" i="4"/>
  <c r="AY73" i="4" s="1"/>
  <c r="AU74" i="4"/>
  <c r="AY74" i="4" s="1"/>
  <c r="AU75" i="4"/>
  <c r="AZ75" i="4" s="1"/>
  <c r="AU76" i="4"/>
  <c r="AZ76" i="4" s="1"/>
  <c r="AU77" i="4"/>
  <c r="AZ77" i="4" s="1"/>
  <c r="AU78" i="4"/>
  <c r="AZ78" i="4" s="1"/>
  <c r="AU79" i="4"/>
  <c r="AY79" i="4" s="1"/>
  <c r="AU80" i="4"/>
  <c r="AY80" i="4" s="1"/>
  <c r="AU81" i="4"/>
  <c r="AY81" i="4" s="1"/>
  <c r="AU82" i="4"/>
  <c r="AY82" i="4" s="1"/>
  <c r="AU83" i="4"/>
  <c r="AZ83" i="4" s="1"/>
  <c r="AU84" i="4"/>
  <c r="AZ84" i="4" s="1"/>
  <c r="AU85" i="4"/>
  <c r="AZ85" i="4" s="1"/>
  <c r="AU86" i="4"/>
  <c r="AZ86" i="4" s="1"/>
  <c r="AU87" i="4"/>
  <c r="AY87" i="4" s="1"/>
  <c r="AU88" i="4"/>
  <c r="AY88" i="4" s="1"/>
  <c r="AU89" i="4"/>
  <c r="AY89" i="4" s="1"/>
  <c r="AU90" i="4"/>
  <c r="AY90" i="4" s="1"/>
  <c r="AU91" i="4"/>
  <c r="AZ91" i="4" s="1"/>
  <c r="AU92" i="4"/>
  <c r="AZ92" i="4" s="1"/>
  <c r="AU93" i="4"/>
  <c r="AZ93" i="4" s="1"/>
  <c r="AU94" i="4"/>
  <c r="AZ94" i="4" s="1"/>
  <c r="AU95" i="4"/>
  <c r="AY95" i="4" s="1"/>
  <c r="AU96" i="4"/>
  <c r="AY96" i="4" s="1"/>
  <c r="AU97" i="4"/>
  <c r="AY97" i="4" s="1"/>
  <c r="AU98" i="4"/>
  <c r="AY98" i="4" s="1"/>
  <c r="AU99" i="4"/>
  <c r="AZ99" i="4" s="1"/>
  <c r="AU100" i="4"/>
  <c r="AZ100" i="4" s="1"/>
  <c r="AU101" i="4"/>
  <c r="AZ101" i="4" s="1"/>
  <c r="AU102" i="4"/>
  <c r="AZ102" i="4" s="1"/>
  <c r="AU103" i="4"/>
  <c r="AY103" i="4" s="1"/>
  <c r="AU104" i="4"/>
  <c r="AY104" i="4" s="1"/>
  <c r="AU105" i="4"/>
  <c r="AY105" i="4" s="1"/>
  <c r="AU106" i="4"/>
  <c r="AY106" i="4" s="1"/>
  <c r="AU107" i="4"/>
  <c r="AZ107" i="4" s="1"/>
  <c r="AU108" i="4"/>
  <c r="AZ108" i="4" s="1"/>
  <c r="AU109" i="4"/>
  <c r="AZ109" i="4" s="1"/>
  <c r="AU110" i="4"/>
  <c r="AZ110" i="4" s="1"/>
  <c r="AU111" i="4"/>
  <c r="AY111" i="4" s="1"/>
  <c r="AU112" i="4"/>
  <c r="AY112" i="4" s="1"/>
  <c r="AU113" i="4"/>
  <c r="AY113" i="4" s="1"/>
  <c r="AU114" i="4"/>
  <c r="AY114" i="4" s="1"/>
  <c r="AU115" i="4"/>
  <c r="AZ115" i="4" s="1"/>
  <c r="AU116" i="4"/>
  <c r="AZ116" i="4" s="1"/>
  <c r="AU117" i="4"/>
  <c r="AZ117" i="4" s="1"/>
  <c r="AU118" i="4"/>
  <c r="AZ118" i="4" s="1"/>
  <c r="AU119" i="4"/>
  <c r="AY119" i="4" s="1"/>
  <c r="AU120" i="4"/>
  <c r="AY120" i="4" s="1"/>
  <c r="AU121" i="4"/>
  <c r="AY121" i="4" s="1"/>
  <c r="AU122" i="4"/>
  <c r="AY122" i="4" s="1"/>
  <c r="AU123" i="4"/>
  <c r="AZ123" i="4" s="1"/>
  <c r="AU124" i="4"/>
  <c r="AZ124" i="4" s="1"/>
  <c r="AU125" i="4"/>
  <c r="AZ125" i="4" s="1"/>
  <c r="AU126" i="4"/>
  <c r="AZ126" i="4" s="1"/>
  <c r="AU127" i="4"/>
  <c r="AY127" i="4" s="1"/>
  <c r="AU128" i="4"/>
  <c r="AY128" i="4" s="1"/>
  <c r="AU129" i="4"/>
  <c r="AY129" i="4" s="1"/>
  <c r="AU130" i="4"/>
  <c r="AY130" i="4" s="1"/>
  <c r="AU131" i="4"/>
  <c r="AZ131" i="4" s="1"/>
  <c r="AU132" i="4"/>
  <c r="AZ132" i="4" s="1"/>
  <c r="AU133" i="4"/>
  <c r="AZ133" i="4" s="1"/>
  <c r="AU134" i="4"/>
  <c r="AZ134" i="4" s="1"/>
  <c r="AU135" i="4"/>
  <c r="AY135" i="4" s="1"/>
  <c r="AU136" i="4"/>
  <c r="AY136" i="4" s="1"/>
  <c r="AU137" i="4"/>
  <c r="AY137" i="4" s="1"/>
  <c r="AU138" i="4"/>
  <c r="AY138" i="4" s="1"/>
  <c r="AU139" i="4"/>
  <c r="AZ139" i="4" s="1"/>
  <c r="AU140" i="4"/>
  <c r="AZ140" i="4" s="1"/>
  <c r="AU141" i="4"/>
  <c r="AZ141" i="4" s="1"/>
  <c r="AU142" i="4"/>
  <c r="AZ142" i="4" s="1"/>
  <c r="AU143" i="4"/>
  <c r="AY143" i="4" s="1"/>
  <c r="AU144" i="4"/>
  <c r="AY144" i="4" s="1"/>
  <c r="AU145" i="4"/>
  <c r="AY145" i="4" s="1"/>
  <c r="AU146" i="4"/>
  <c r="AY146" i="4" s="1"/>
  <c r="AU147" i="4"/>
  <c r="AZ147" i="4" s="1"/>
  <c r="AU148" i="4"/>
  <c r="AZ148" i="4" s="1"/>
  <c r="AU149" i="4"/>
  <c r="AZ149" i="4" s="1"/>
  <c r="AU150" i="4"/>
  <c r="AZ150" i="4" s="1"/>
  <c r="AU151" i="4"/>
  <c r="AY151" i="4" s="1"/>
  <c r="AU152" i="4"/>
  <c r="AY152" i="4" s="1"/>
  <c r="AU153" i="4"/>
  <c r="AY153" i="4" s="1"/>
  <c r="AU154" i="4"/>
  <c r="AY154" i="4" s="1"/>
  <c r="AU155" i="4"/>
  <c r="AZ155" i="4" s="1"/>
  <c r="AU156" i="4"/>
  <c r="AZ156" i="4" s="1"/>
  <c r="AU157" i="4"/>
  <c r="AZ157" i="4" s="1"/>
  <c r="AU158" i="4"/>
  <c r="AZ158" i="4" s="1"/>
  <c r="AU159" i="4"/>
  <c r="AY159" i="4" s="1"/>
  <c r="AU4" i="4"/>
  <c r="AY4" i="4" s="1"/>
  <c r="M19" i="6" l="1"/>
  <c r="M40" i="6"/>
  <c r="R18" i="6"/>
  <c r="M16" i="6"/>
  <c r="L20" i="6"/>
  <c r="N17" i="6" s="1"/>
  <c r="M37" i="6"/>
  <c r="N41" i="6"/>
  <c r="S43" i="6"/>
  <c r="S41" i="6"/>
  <c r="N22" i="6"/>
  <c r="U18" i="6"/>
  <c r="S37" i="6"/>
  <c r="C40" i="6"/>
  <c r="M36" i="6"/>
  <c r="R36" i="6"/>
  <c r="R42" i="6" s="1"/>
  <c r="L39" i="6"/>
  <c r="N38" i="6" s="1"/>
  <c r="R38" i="6"/>
  <c r="R44" i="6" s="1"/>
  <c r="M38" i="6"/>
  <c r="S35" i="6"/>
  <c r="Z35" i="6"/>
  <c r="R17" i="6"/>
  <c r="R20" i="6" s="1"/>
  <c r="S19" i="6" s="1"/>
  <c r="M17" i="6"/>
  <c r="X19" i="6"/>
  <c r="E19" i="5"/>
  <c r="L15" i="5"/>
  <c r="L36" i="5"/>
  <c r="M36" i="5" s="1"/>
  <c r="L34" i="5"/>
  <c r="M34" i="5" s="1"/>
  <c r="L20" i="5"/>
  <c r="L17" i="5"/>
  <c r="L18" i="5"/>
  <c r="M18" i="5" s="1"/>
  <c r="L39" i="5"/>
  <c r="C26" i="5"/>
  <c r="D26" i="5" s="1"/>
  <c r="E26" i="5" s="1"/>
  <c r="AY10" i="4"/>
  <c r="AY26" i="4"/>
  <c r="AY34" i="4"/>
  <c r="AY18" i="4"/>
  <c r="AY158" i="4"/>
  <c r="AY150" i="4"/>
  <c r="AY142" i="4"/>
  <c r="AY134" i="4"/>
  <c r="AY126" i="4"/>
  <c r="AY118" i="4"/>
  <c r="AY110" i="4"/>
  <c r="AY102" i="4"/>
  <c r="AY94" i="4"/>
  <c r="AY86" i="4"/>
  <c r="AY78" i="4"/>
  <c r="AY70" i="4"/>
  <c r="AY62" i="4"/>
  <c r="AY54" i="4"/>
  <c r="AY46" i="4"/>
  <c r="AY38" i="4"/>
  <c r="AY30" i="4"/>
  <c r="AY22" i="4"/>
  <c r="AY14" i="4"/>
  <c r="AY6" i="4"/>
  <c r="AZ154" i="4"/>
  <c r="AZ146" i="4"/>
  <c r="AZ138" i="4"/>
  <c r="AZ130" i="4"/>
  <c r="AZ122" i="4"/>
  <c r="AZ114" i="4"/>
  <c r="AZ106" i="4"/>
  <c r="AZ98" i="4"/>
  <c r="AZ90" i="4"/>
  <c r="AZ82" i="4"/>
  <c r="AZ74" i="4"/>
  <c r="AZ66" i="4"/>
  <c r="AZ58" i="4"/>
  <c r="AZ50" i="4"/>
  <c r="AZ42" i="4"/>
  <c r="AZ34" i="4"/>
  <c r="AZ26" i="4"/>
  <c r="AZ18" i="4"/>
  <c r="AZ10" i="4"/>
  <c r="AY157" i="4"/>
  <c r="AY141" i="4"/>
  <c r="AY133" i="4"/>
  <c r="AY125" i="4"/>
  <c r="AY117" i="4"/>
  <c r="AY109" i="4"/>
  <c r="AY101" i="4"/>
  <c r="AY93" i="4"/>
  <c r="AY85" i="4"/>
  <c r="AY77" i="4"/>
  <c r="AY69" i="4"/>
  <c r="AY61" i="4"/>
  <c r="AY53" i="4"/>
  <c r="AY45" i="4"/>
  <c r="AY37" i="4"/>
  <c r="AY29" i="4"/>
  <c r="AY21" i="4"/>
  <c r="AY13" i="4"/>
  <c r="AY5" i="4"/>
  <c r="AZ153" i="4"/>
  <c r="AZ145" i="4"/>
  <c r="AZ137" i="4"/>
  <c r="AZ129" i="4"/>
  <c r="AZ121" i="4"/>
  <c r="AZ113" i="4"/>
  <c r="AZ105" i="4"/>
  <c r="AZ97" i="4"/>
  <c r="AZ89" i="4"/>
  <c r="AZ81" i="4"/>
  <c r="AZ73" i="4"/>
  <c r="AZ65" i="4"/>
  <c r="AZ57" i="4"/>
  <c r="AZ49" i="4"/>
  <c r="AZ41" i="4"/>
  <c r="AZ33" i="4"/>
  <c r="AZ25" i="4"/>
  <c r="AZ17" i="4"/>
  <c r="AZ9" i="4"/>
  <c r="AY149" i="4"/>
  <c r="AY156" i="4"/>
  <c r="AY148" i="4"/>
  <c r="AY140" i="4"/>
  <c r="AY132" i="4"/>
  <c r="AY124" i="4"/>
  <c r="AY116" i="4"/>
  <c r="AY108" i="4"/>
  <c r="AY100" i="4"/>
  <c r="AY92" i="4"/>
  <c r="AY84" i="4"/>
  <c r="AY76" i="4"/>
  <c r="AY68" i="4"/>
  <c r="AY60" i="4"/>
  <c r="AY52" i="4"/>
  <c r="AY44" i="4"/>
  <c r="AY36" i="4"/>
  <c r="AY28" i="4"/>
  <c r="AY20" i="4"/>
  <c r="AY12" i="4"/>
  <c r="AZ4" i="4"/>
  <c r="AZ152" i="4"/>
  <c r="AZ144" i="4"/>
  <c r="AZ136" i="4"/>
  <c r="AZ128" i="4"/>
  <c r="AZ120" i="4"/>
  <c r="AZ112" i="4"/>
  <c r="AZ104" i="4"/>
  <c r="AZ96" i="4"/>
  <c r="AZ88" i="4"/>
  <c r="AZ80" i="4"/>
  <c r="AZ72" i="4"/>
  <c r="AZ64" i="4"/>
  <c r="AZ56" i="4"/>
  <c r="AZ48" i="4"/>
  <c r="AZ40" i="4"/>
  <c r="AZ32" i="4"/>
  <c r="AZ24" i="4"/>
  <c r="AZ16" i="4"/>
  <c r="AZ8" i="4"/>
  <c r="AY155" i="4"/>
  <c r="AY147" i="4"/>
  <c r="AY139" i="4"/>
  <c r="AY131" i="4"/>
  <c r="AY123" i="4"/>
  <c r="AY115" i="4"/>
  <c r="AY107" i="4"/>
  <c r="AY99" i="4"/>
  <c r="AY91" i="4"/>
  <c r="AY83" i="4"/>
  <c r="AY75" i="4"/>
  <c r="AY67" i="4"/>
  <c r="AY59" i="4"/>
  <c r="AY51" i="4"/>
  <c r="AY43" i="4"/>
  <c r="AY35" i="4"/>
  <c r="AY27" i="4"/>
  <c r="AY19" i="4"/>
  <c r="AY11" i="4"/>
  <c r="AZ159" i="4"/>
  <c r="AZ151" i="4"/>
  <c r="AZ143" i="4"/>
  <c r="AZ135" i="4"/>
  <c r="AZ127" i="4"/>
  <c r="AZ119" i="4"/>
  <c r="AZ111" i="4"/>
  <c r="AZ103" i="4"/>
  <c r="AZ95" i="4"/>
  <c r="AZ87" i="4"/>
  <c r="AZ79" i="4"/>
  <c r="AZ71" i="4"/>
  <c r="AZ63" i="4"/>
  <c r="AZ55" i="4"/>
  <c r="AZ47" i="4"/>
  <c r="AZ39" i="4"/>
  <c r="AZ31" i="4"/>
  <c r="AZ23" i="4"/>
  <c r="AZ15" i="4"/>
  <c r="AZ7" i="4"/>
  <c r="AK9" i="4"/>
  <c r="AK10" i="4"/>
  <c r="AK11" i="4"/>
  <c r="AK12" i="4"/>
  <c r="AK13" i="4"/>
  <c r="AK14" i="4"/>
  <c r="AK15" i="4"/>
  <c r="AK16" i="4"/>
  <c r="AK17" i="4"/>
  <c r="AK18" i="4"/>
  <c r="AK19" i="4"/>
  <c r="AK8" i="4"/>
  <c r="AI9" i="4"/>
  <c r="AI10" i="4"/>
  <c r="AN10" i="4" s="1"/>
  <c r="AI11" i="4"/>
  <c r="AM11" i="4" s="1"/>
  <c r="AI12" i="4"/>
  <c r="AI13" i="4"/>
  <c r="AI14" i="4"/>
  <c r="AI15" i="4"/>
  <c r="AI16" i="4"/>
  <c r="AI17" i="4"/>
  <c r="AI18" i="4"/>
  <c r="AN18" i="4" s="1"/>
  <c r="AI19" i="4"/>
  <c r="AN19" i="4" s="1"/>
  <c r="AI8" i="4"/>
  <c r="AB5" i="4"/>
  <c r="AB6" i="4"/>
  <c r="AB7" i="4"/>
  <c r="AB8" i="4"/>
  <c r="AB9" i="4"/>
  <c r="AB10" i="4"/>
  <c r="AB11" i="4"/>
  <c r="AB12" i="4"/>
  <c r="AB13" i="4"/>
  <c r="AB14" i="4"/>
  <c r="AB15" i="4"/>
  <c r="AB16" i="4"/>
  <c r="AB17" i="4"/>
  <c r="AB18" i="4"/>
  <c r="AB19" i="4"/>
  <c r="AB20" i="4"/>
  <c r="AB21" i="4"/>
  <c r="AB22" i="4"/>
  <c r="AB23" i="4"/>
  <c r="AB24" i="4"/>
  <c r="AB25" i="4"/>
  <c r="AB26" i="4"/>
  <c r="AB27" i="4"/>
  <c r="AB28" i="4"/>
  <c r="AB29" i="4"/>
  <c r="AB30" i="4"/>
  <c r="AB31" i="4"/>
  <c r="AB32" i="4"/>
  <c r="AB33" i="4"/>
  <c r="AB34" i="4"/>
  <c r="AB35" i="4"/>
  <c r="AB36" i="4"/>
  <c r="AB37" i="4"/>
  <c r="AB38" i="4"/>
  <c r="AB39" i="4"/>
  <c r="AB40" i="4"/>
  <c r="AB41" i="4"/>
  <c r="AB42" i="4"/>
  <c r="AB43" i="4"/>
  <c r="AB44" i="4"/>
  <c r="AB45" i="4"/>
  <c r="AB46" i="4"/>
  <c r="AB47" i="4"/>
  <c r="AB48" i="4"/>
  <c r="AB49" i="4"/>
  <c r="AB50" i="4"/>
  <c r="AB51" i="4"/>
  <c r="AB52" i="4"/>
  <c r="AB53" i="4"/>
  <c r="AB54" i="4"/>
  <c r="AB55" i="4"/>
  <c r="AB56" i="4"/>
  <c r="AB57" i="4"/>
  <c r="AB58" i="4"/>
  <c r="AB59" i="4"/>
  <c r="AB60" i="4"/>
  <c r="AB61" i="4"/>
  <c r="AB62" i="4"/>
  <c r="AB63" i="4"/>
  <c r="AB64" i="4"/>
  <c r="AB65" i="4"/>
  <c r="AB66" i="4"/>
  <c r="AB67" i="4"/>
  <c r="AB68" i="4"/>
  <c r="AB69" i="4"/>
  <c r="AB70" i="4"/>
  <c r="AB71" i="4"/>
  <c r="AB72" i="4"/>
  <c r="AB73" i="4"/>
  <c r="AB74" i="4"/>
  <c r="AB75" i="4"/>
  <c r="AB76" i="4"/>
  <c r="AB77" i="4"/>
  <c r="AB78" i="4"/>
  <c r="AB79" i="4"/>
  <c r="AB80" i="4"/>
  <c r="AB81" i="4"/>
  <c r="AB82" i="4"/>
  <c r="AB83" i="4"/>
  <c r="AB84" i="4"/>
  <c r="AB85" i="4"/>
  <c r="AB86" i="4"/>
  <c r="AB87" i="4"/>
  <c r="AB88" i="4"/>
  <c r="AB89" i="4"/>
  <c r="AB90" i="4"/>
  <c r="AB91" i="4"/>
  <c r="AB92" i="4"/>
  <c r="AB93" i="4"/>
  <c r="AB94" i="4"/>
  <c r="AB95" i="4"/>
  <c r="AB96" i="4"/>
  <c r="AB97" i="4"/>
  <c r="AB98" i="4"/>
  <c r="AB99" i="4"/>
  <c r="AB100" i="4"/>
  <c r="AB101" i="4"/>
  <c r="AB102" i="4"/>
  <c r="AB103" i="4"/>
  <c r="AB104" i="4"/>
  <c r="AB105" i="4"/>
  <c r="AB106" i="4"/>
  <c r="AB107" i="4"/>
  <c r="AB108" i="4"/>
  <c r="AB109" i="4"/>
  <c r="AB110" i="4"/>
  <c r="AB111" i="4"/>
  <c r="AB112" i="4"/>
  <c r="AB113" i="4"/>
  <c r="AB114" i="4"/>
  <c r="AB115" i="4"/>
  <c r="AB116" i="4"/>
  <c r="AB117" i="4"/>
  <c r="AB118" i="4"/>
  <c r="AB119" i="4"/>
  <c r="AB120" i="4"/>
  <c r="AB121" i="4"/>
  <c r="AB122" i="4"/>
  <c r="AB123" i="4"/>
  <c r="AB124" i="4"/>
  <c r="AB125" i="4"/>
  <c r="AB126" i="4"/>
  <c r="AB127" i="4"/>
  <c r="AB128" i="4"/>
  <c r="AB129" i="4"/>
  <c r="AB130" i="4"/>
  <c r="AB131" i="4"/>
  <c r="AB132" i="4"/>
  <c r="AB133" i="4"/>
  <c r="AB134" i="4"/>
  <c r="AB135" i="4"/>
  <c r="AB136" i="4"/>
  <c r="AB137" i="4"/>
  <c r="AB138" i="4"/>
  <c r="AB139" i="4"/>
  <c r="AB140" i="4"/>
  <c r="AB141" i="4"/>
  <c r="AB142" i="4"/>
  <c r="AB143" i="4"/>
  <c r="AB144" i="4"/>
  <c r="AB145" i="4"/>
  <c r="AB146" i="4"/>
  <c r="AB147" i="4"/>
  <c r="AB148" i="4"/>
  <c r="AB149" i="4"/>
  <c r="AB150" i="4"/>
  <c r="AB151" i="4"/>
  <c r="AB152" i="4"/>
  <c r="AB153" i="4"/>
  <c r="AB154" i="4"/>
  <c r="AB155" i="4"/>
  <c r="AB156" i="4"/>
  <c r="AB157" i="4"/>
  <c r="AB158" i="4"/>
  <c r="AB159" i="4"/>
  <c r="AB4" i="4"/>
  <c r="Z5" i="4"/>
  <c r="Z6" i="4"/>
  <c r="AE6" i="4" s="1"/>
  <c r="Z7" i="4"/>
  <c r="Z8" i="4"/>
  <c r="Z9" i="4"/>
  <c r="AE9" i="4" s="1"/>
  <c r="Z10" i="4"/>
  <c r="Z11" i="4"/>
  <c r="Z12" i="4"/>
  <c r="Z13" i="4"/>
  <c r="Z14" i="4"/>
  <c r="AE14" i="4" s="1"/>
  <c r="Z15" i="4"/>
  <c r="Z16" i="4"/>
  <c r="Z17" i="4"/>
  <c r="AE17" i="4" s="1"/>
  <c r="Z18" i="4"/>
  <c r="Z19" i="4"/>
  <c r="Z20" i="4"/>
  <c r="Z21" i="4"/>
  <c r="Z22" i="4"/>
  <c r="AE22" i="4" s="1"/>
  <c r="Z23" i="4"/>
  <c r="Z24" i="4"/>
  <c r="Z25" i="4"/>
  <c r="AE25" i="4" s="1"/>
  <c r="Z26" i="4"/>
  <c r="Z27" i="4"/>
  <c r="Z28" i="4"/>
  <c r="Z29" i="4"/>
  <c r="Z30" i="4"/>
  <c r="AE30" i="4" s="1"/>
  <c r="Z31" i="4"/>
  <c r="Z32" i="4"/>
  <c r="Z33" i="4"/>
  <c r="AE33" i="4" s="1"/>
  <c r="Z34" i="4"/>
  <c r="Z35" i="4"/>
  <c r="Z36" i="4"/>
  <c r="Z37" i="4"/>
  <c r="Z38" i="4"/>
  <c r="AE38" i="4" s="1"/>
  <c r="Z39" i="4"/>
  <c r="Z40" i="4"/>
  <c r="Z41" i="4"/>
  <c r="AE41" i="4" s="1"/>
  <c r="Z42" i="4"/>
  <c r="Z43" i="4"/>
  <c r="Z44" i="4"/>
  <c r="Z45" i="4"/>
  <c r="Z46" i="4"/>
  <c r="AE46" i="4" s="1"/>
  <c r="Z47" i="4"/>
  <c r="Z48" i="4"/>
  <c r="Z49" i="4"/>
  <c r="AE49" i="4" s="1"/>
  <c r="Z50" i="4"/>
  <c r="Z51" i="4"/>
  <c r="Z52" i="4"/>
  <c r="Z53" i="4"/>
  <c r="Z54" i="4"/>
  <c r="AE54" i="4" s="1"/>
  <c r="Z55" i="4"/>
  <c r="Z56" i="4"/>
  <c r="Z57" i="4"/>
  <c r="AE57" i="4" s="1"/>
  <c r="Z58" i="4"/>
  <c r="Z59" i="4"/>
  <c r="Z60" i="4"/>
  <c r="Z61" i="4"/>
  <c r="Z62" i="4"/>
  <c r="AE62" i="4" s="1"/>
  <c r="Z63" i="4"/>
  <c r="Z64" i="4"/>
  <c r="Z65" i="4"/>
  <c r="AE65" i="4" s="1"/>
  <c r="Z66" i="4"/>
  <c r="Z67" i="4"/>
  <c r="Z68" i="4"/>
  <c r="Z69" i="4"/>
  <c r="Z70" i="4"/>
  <c r="AE70" i="4" s="1"/>
  <c r="Z71" i="4"/>
  <c r="Z72" i="4"/>
  <c r="Z73" i="4"/>
  <c r="AE73" i="4" s="1"/>
  <c r="Z74" i="4"/>
  <c r="Z75" i="4"/>
  <c r="Z76" i="4"/>
  <c r="Z77" i="4"/>
  <c r="Z78" i="4"/>
  <c r="AE78" i="4" s="1"/>
  <c r="Z79" i="4"/>
  <c r="Z80" i="4"/>
  <c r="Z81" i="4"/>
  <c r="AE81" i="4" s="1"/>
  <c r="Z82" i="4"/>
  <c r="Z83" i="4"/>
  <c r="Z84" i="4"/>
  <c r="Z85" i="4"/>
  <c r="Z86" i="4"/>
  <c r="AE86" i="4" s="1"/>
  <c r="Z87" i="4"/>
  <c r="Z88" i="4"/>
  <c r="Z89" i="4"/>
  <c r="AE89" i="4" s="1"/>
  <c r="Z90" i="4"/>
  <c r="Z91" i="4"/>
  <c r="Z92" i="4"/>
  <c r="Z93" i="4"/>
  <c r="Z94" i="4"/>
  <c r="AE94" i="4" s="1"/>
  <c r="Z95" i="4"/>
  <c r="Z96" i="4"/>
  <c r="Z97" i="4"/>
  <c r="AE97" i="4" s="1"/>
  <c r="Z98" i="4"/>
  <c r="Z99" i="4"/>
  <c r="Z100" i="4"/>
  <c r="Z101" i="4"/>
  <c r="Z102" i="4"/>
  <c r="AE102" i="4" s="1"/>
  <c r="Z103" i="4"/>
  <c r="Z104" i="4"/>
  <c r="Z105" i="4"/>
  <c r="AE105" i="4" s="1"/>
  <c r="Z106" i="4"/>
  <c r="Z107" i="4"/>
  <c r="Z108" i="4"/>
  <c r="Z109" i="4"/>
  <c r="Z110" i="4"/>
  <c r="AE110" i="4" s="1"/>
  <c r="Z111" i="4"/>
  <c r="Z112" i="4"/>
  <c r="Z113" i="4"/>
  <c r="AE113" i="4" s="1"/>
  <c r="Z114" i="4"/>
  <c r="Z115" i="4"/>
  <c r="Z116" i="4"/>
  <c r="Z117" i="4"/>
  <c r="Z118" i="4"/>
  <c r="AE118" i="4" s="1"/>
  <c r="Z119" i="4"/>
  <c r="Z120" i="4"/>
  <c r="Z121" i="4"/>
  <c r="AE121" i="4" s="1"/>
  <c r="Z122" i="4"/>
  <c r="Z123" i="4"/>
  <c r="Z124" i="4"/>
  <c r="Z125" i="4"/>
  <c r="Z126" i="4"/>
  <c r="AE126" i="4" s="1"/>
  <c r="Z127" i="4"/>
  <c r="Z128" i="4"/>
  <c r="Z129" i="4"/>
  <c r="AE129" i="4" s="1"/>
  <c r="Z130" i="4"/>
  <c r="Z131" i="4"/>
  <c r="Z132" i="4"/>
  <c r="Z133" i="4"/>
  <c r="Z134" i="4"/>
  <c r="AE134" i="4" s="1"/>
  <c r="Z135" i="4"/>
  <c r="Z136" i="4"/>
  <c r="Z137" i="4"/>
  <c r="AE137" i="4" s="1"/>
  <c r="Z138" i="4"/>
  <c r="Z139" i="4"/>
  <c r="Z140" i="4"/>
  <c r="Z141" i="4"/>
  <c r="Z142" i="4"/>
  <c r="AE142" i="4" s="1"/>
  <c r="Z143" i="4"/>
  <c r="Z144" i="4"/>
  <c r="Z145" i="4"/>
  <c r="AE145" i="4" s="1"/>
  <c r="Z146" i="4"/>
  <c r="Z147" i="4"/>
  <c r="Z148" i="4"/>
  <c r="Z149" i="4"/>
  <c r="Z150" i="4"/>
  <c r="AE150" i="4" s="1"/>
  <c r="Z151" i="4"/>
  <c r="Z152" i="4"/>
  <c r="Z153" i="4"/>
  <c r="AE153" i="4" s="1"/>
  <c r="Z154" i="4"/>
  <c r="Z155" i="4"/>
  <c r="Z156" i="4"/>
  <c r="Z157" i="4"/>
  <c r="Z158" i="4"/>
  <c r="AE158" i="4" s="1"/>
  <c r="Z159" i="4"/>
  <c r="Z4" i="4"/>
  <c r="O5" i="4"/>
  <c r="O6" i="4"/>
  <c r="O7" i="4"/>
  <c r="O8" i="4"/>
  <c r="O9" i="4"/>
  <c r="O10" i="4"/>
  <c r="O11" i="4"/>
  <c r="O12" i="4"/>
  <c r="O13" i="4"/>
  <c r="O14" i="4"/>
  <c r="O15" i="4"/>
  <c r="O4" i="4"/>
  <c r="M5" i="4"/>
  <c r="M6" i="4"/>
  <c r="M7" i="4"/>
  <c r="M8" i="4"/>
  <c r="M9" i="4"/>
  <c r="M10" i="4"/>
  <c r="M11" i="4"/>
  <c r="M12" i="4"/>
  <c r="M13" i="4"/>
  <c r="M14" i="4"/>
  <c r="M15" i="4"/>
  <c r="M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4"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74" i="4"/>
  <c r="C75" i="4"/>
  <c r="C76" i="4"/>
  <c r="C77" i="4"/>
  <c r="C78" i="4"/>
  <c r="C79" i="4"/>
  <c r="C80" i="4"/>
  <c r="C81" i="4"/>
  <c r="H81" i="4" s="1"/>
  <c r="C82" i="4"/>
  <c r="C83" i="4"/>
  <c r="C84" i="4"/>
  <c r="C85" i="4"/>
  <c r="C86" i="4"/>
  <c r="C87" i="4"/>
  <c r="C88" i="4"/>
  <c r="C89" i="4"/>
  <c r="H89" i="4" s="1"/>
  <c r="C90" i="4"/>
  <c r="C91" i="4"/>
  <c r="C92" i="4"/>
  <c r="C93" i="4"/>
  <c r="C94" i="4"/>
  <c r="C95" i="4"/>
  <c r="C96" i="4"/>
  <c r="C97" i="4"/>
  <c r="H97" i="4" s="1"/>
  <c r="C98" i="4"/>
  <c r="C99" i="4"/>
  <c r="C100" i="4"/>
  <c r="C101" i="4"/>
  <c r="C102" i="4"/>
  <c r="C103" i="4"/>
  <c r="C104" i="4"/>
  <c r="C105" i="4"/>
  <c r="H105" i="4" s="1"/>
  <c r="C106" i="4"/>
  <c r="C107" i="4"/>
  <c r="C108" i="4"/>
  <c r="C109" i="4"/>
  <c r="C110" i="4"/>
  <c r="C111" i="4"/>
  <c r="C112" i="4"/>
  <c r="C113" i="4"/>
  <c r="H113" i="4" s="1"/>
  <c r="C114" i="4"/>
  <c r="C115"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6" i="4"/>
  <c r="C7" i="4"/>
  <c r="C8" i="4"/>
  <c r="C9" i="4"/>
  <c r="H9" i="4" s="1"/>
  <c r="C10" i="4"/>
  <c r="C11" i="4"/>
  <c r="C12" i="4"/>
  <c r="C13" i="4"/>
  <c r="C14" i="4"/>
  <c r="H14" i="4" s="1"/>
  <c r="C15" i="4"/>
  <c r="C16" i="4"/>
  <c r="C17" i="4"/>
  <c r="H17" i="4" s="1"/>
  <c r="C18" i="4"/>
  <c r="C19" i="4"/>
  <c r="C20" i="4"/>
  <c r="C21" i="4"/>
  <c r="C22" i="4"/>
  <c r="H22" i="4" s="1"/>
  <c r="C23" i="4"/>
  <c r="C24" i="4"/>
  <c r="C25" i="4"/>
  <c r="H25" i="4" s="1"/>
  <c r="C26" i="4"/>
  <c r="C27" i="4"/>
  <c r="C28" i="4"/>
  <c r="C29" i="4"/>
  <c r="C30" i="4"/>
  <c r="H30" i="4" s="1"/>
  <c r="C31" i="4"/>
  <c r="C32" i="4"/>
  <c r="C33" i="4"/>
  <c r="H33" i="4" s="1"/>
  <c r="C34" i="4"/>
  <c r="C35" i="4"/>
  <c r="C36" i="4"/>
  <c r="C37" i="4"/>
  <c r="C38" i="4"/>
  <c r="C39" i="4"/>
  <c r="C40" i="4"/>
  <c r="C5" i="4"/>
  <c r="C4" i="4"/>
  <c r="M20" i="6" l="1"/>
  <c r="AD45" i="6"/>
  <c r="AD46" i="6" s="1"/>
  <c r="N16" i="6"/>
  <c r="N18" i="6"/>
  <c r="O18" i="6" s="1"/>
  <c r="N19" i="6"/>
  <c r="Y38" i="6"/>
  <c r="S42" i="6"/>
  <c r="R45" i="6"/>
  <c r="T44" i="6" s="1"/>
  <c r="S44" i="6"/>
  <c r="Z37" i="6"/>
  <c r="AK42" i="6"/>
  <c r="AF45" i="6"/>
  <c r="M39" i="6"/>
  <c r="M41" i="6" s="1"/>
  <c r="C41" i="6"/>
  <c r="D41" i="6" s="1"/>
  <c r="S38" i="6"/>
  <c r="S36" i="6"/>
  <c r="S17" i="6"/>
  <c r="S18" i="6"/>
  <c r="T18" i="6" s="1"/>
  <c r="X17" i="6"/>
  <c r="Y36" i="6" s="1"/>
  <c r="R39" i="6"/>
  <c r="T36" i="6" s="1"/>
  <c r="S16" i="6"/>
  <c r="V35" i="6"/>
  <c r="N35" i="6"/>
  <c r="N37" i="6"/>
  <c r="O37" i="6" s="1"/>
  <c r="N36" i="6"/>
  <c r="O16" i="6"/>
  <c r="U16" i="6"/>
  <c r="V37" i="6"/>
  <c r="D40" i="6"/>
  <c r="R17" i="5"/>
  <c r="M17" i="5"/>
  <c r="N20" i="5"/>
  <c r="M20" i="5"/>
  <c r="R15" i="5"/>
  <c r="M15" i="5"/>
  <c r="N39" i="5"/>
  <c r="M39" i="5"/>
  <c r="R34" i="5"/>
  <c r="S34" i="5" s="1"/>
  <c r="R36" i="5"/>
  <c r="AD156" i="4"/>
  <c r="AD148" i="4"/>
  <c r="AD140" i="4"/>
  <c r="AD132" i="4"/>
  <c r="AD124" i="4"/>
  <c r="AD116" i="4"/>
  <c r="AD108" i="4"/>
  <c r="AD100" i="4"/>
  <c r="AD92" i="4"/>
  <c r="AD84" i="4"/>
  <c r="AD76" i="4"/>
  <c r="AM16" i="4"/>
  <c r="AD155" i="4"/>
  <c r="AD147" i="4"/>
  <c r="AD139" i="4"/>
  <c r="AD131" i="4"/>
  <c r="AD123" i="4"/>
  <c r="AD115" i="4"/>
  <c r="AD107" i="4"/>
  <c r="AD99" i="4"/>
  <c r="AD91" i="4"/>
  <c r="AD83" i="4"/>
  <c r="AD75" i="4"/>
  <c r="AD67" i="4"/>
  <c r="AD59" i="4"/>
  <c r="AD51" i="4"/>
  <c r="AD43" i="4"/>
  <c r="AD35" i="4"/>
  <c r="AD27" i="4"/>
  <c r="AD19" i="4"/>
  <c r="AD11" i="4"/>
  <c r="AN17" i="4"/>
  <c r="AN9" i="4"/>
  <c r="AD4" i="4"/>
  <c r="AD152" i="4"/>
  <c r="AD144" i="4"/>
  <c r="AE136" i="4"/>
  <c r="AE128" i="4"/>
  <c r="AD120" i="4"/>
  <c r="AD112" i="4"/>
  <c r="AD104" i="4"/>
  <c r="AE96" i="4"/>
  <c r="AD88" i="4"/>
  <c r="AE80" i="4"/>
  <c r="AE72" i="4"/>
  <c r="AD64" i="4"/>
  <c r="AD56" i="4"/>
  <c r="AE48" i="4"/>
  <c r="AD40" i="4"/>
  <c r="AE32" i="4"/>
  <c r="AE24" i="4"/>
  <c r="AD16" i="4"/>
  <c r="AD8" i="4"/>
  <c r="AN8" i="4"/>
  <c r="H4" i="4"/>
  <c r="AD154" i="4"/>
  <c r="AD146" i="4"/>
  <c r="AD138" i="4"/>
  <c r="AD130" i="4"/>
  <c r="AD122" i="4"/>
  <c r="AD114" i="4"/>
  <c r="AD106" i="4"/>
  <c r="AD98" i="4"/>
  <c r="AD90" i="4"/>
  <c r="AD82" i="4"/>
  <c r="AD74" i="4"/>
  <c r="AD66" i="4"/>
  <c r="AD58" i="4"/>
  <c r="AD50" i="4"/>
  <c r="AD42" i="4"/>
  <c r="AD34" i="4"/>
  <c r="AD26" i="4"/>
  <c r="AD18" i="4"/>
  <c r="AD10" i="4"/>
  <c r="H55" i="4"/>
  <c r="AE111" i="4"/>
  <c r="H111" i="4"/>
  <c r="H103" i="4"/>
  <c r="H95" i="4"/>
  <c r="H87" i="4"/>
  <c r="H79" i="4"/>
  <c r="H63" i="4"/>
  <c r="H39" i="4"/>
  <c r="H15" i="4"/>
  <c r="AE157" i="4"/>
  <c r="AE149" i="4"/>
  <c r="AE141" i="4"/>
  <c r="AE133" i="4"/>
  <c r="AE125" i="4"/>
  <c r="AE117" i="4"/>
  <c r="AE109" i="4"/>
  <c r="AE101" i="4"/>
  <c r="AE93" i="4"/>
  <c r="AE85" i="4"/>
  <c r="AE77" i="4"/>
  <c r="AE69" i="4"/>
  <c r="AE61" i="4"/>
  <c r="AE53" i="4"/>
  <c r="AE45" i="4"/>
  <c r="AE37" i="4"/>
  <c r="AE29" i="4"/>
  <c r="AE21" i="4"/>
  <c r="AE13" i="4"/>
  <c r="AE5" i="4"/>
  <c r="H47" i="4"/>
  <c r="AE159" i="4"/>
  <c r="H31" i="4"/>
  <c r="H23" i="4"/>
  <c r="H7" i="4"/>
  <c r="AD68" i="4"/>
  <c r="AD60" i="4"/>
  <c r="AD52" i="4"/>
  <c r="AD44" i="4"/>
  <c r="AD36" i="4"/>
  <c r="AD28" i="4"/>
  <c r="AD20" i="4"/>
  <c r="AD12" i="4"/>
  <c r="AM15" i="4"/>
  <c r="AN13" i="4"/>
  <c r="H71" i="4"/>
  <c r="H159" i="4"/>
  <c r="H151" i="4"/>
  <c r="H143" i="4"/>
  <c r="H135" i="4"/>
  <c r="H127" i="4"/>
  <c r="H119" i="4"/>
  <c r="AN12" i="4"/>
  <c r="AE151" i="4"/>
  <c r="AE143" i="4"/>
  <c r="AE135" i="4"/>
  <c r="AE127" i="4"/>
  <c r="AE119" i="4"/>
  <c r="AE103" i="4"/>
  <c r="AE95" i="4"/>
  <c r="AE87" i="4"/>
  <c r="AE79" i="4"/>
  <c r="AE71" i="4"/>
  <c r="AE63" i="4"/>
  <c r="AE55" i="4"/>
  <c r="AE47" i="4"/>
  <c r="AE39" i="4"/>
  <c r="AE31" i="4"/>
  <c r="AE23" i="4"/>
  <c r="AE15" i="4"/>
  <c r="AE7" i="4"/>
  <c r="AD129" i="4"/>
  <c r="AD65" i="4"/>
  <c r="AM8" i="4"/>
  <c r="AD121" i="4"/>
  <c r="AD57" i="4"/>
  <c r="AM19" i="4"/>
  <c r="AD113" i="4"/>
  <c r="AD49" i="4"/>
  <c r="AM18" i="4"/>
  <c r="AD105" i="4"/>
  <c r="AD41" i="4"/>
  <c r="AM13" i="4"/>
  <c r="AM12" i="4"/>
  <c r="AD97" i="4"/>
  <c r="AD33" i="4"/>
  <c r="AE156" i="4"/>
  <c r="AE148" i="4"/>
  <c r="AE140" i="4"/>
  <c r="AE132" i="4"/>
  <c r="AE124" i="4"/>
  <c r="AE116" i="4"/>
  <c r="AE108" i="4"/>
  <c r="AE100" i="4"/>
  <c r="AE92" i="4"/>
  <c r="AE84" i="4"/>
  <c r="AE76" i="4"/>
  <c r="AE68" i="4"/>
  <c r="AE60" i="4"/>
  <c r="AE52" i="4"/>
  <c r="AE44" i="4"/>
  <c r="AE36" i="4"/>
  <c r="AE28" i="4"/>
  <c r="AE20" i="4"/>
  <c r="AE12" i="4"/>
  <c r="AD153" i="4"/>
  <c r="AD89" i="4"/>
  <c r="AD25" i="4"/>
  <c r="AN11" i="4"/>
  <c r="AM10" i="4"/>
  <c r="AE155" i="4"/>
  <c r="AE147" i="4"/>
  <c r="AE139" i="4"/>
  <c r="AE131" i="4"/>
  <c r="AE123" i="4"/>
  <c r="AE115" i="4"/>
  <c r="AE107" i="4"/>
  <c r="AE99" i="4"/>
  <c r="AE91" i="4"/>
  <c r="AE83" i="4"/>
  <c r="AE75" i="4"/>
  <c r="AE67" i="4"/>
  <c r="AE59" i="4"/>
  <c r="AE51" i="4"/>
  <c r="AE43" i="4"/>
  <c r="AE35" i="4"/>
  <c r="AE27" i="4"/>
  <c r="AE19" i="4"/>
  <c r="AE11" i="4"/>
  <c r="AD145" i="4"/>
  <c r="AD81" i="4"/>
  <c r="AD17" i="4"/>
  <c r="AE154" i="4"/>
  <c r="AE146" i="4"/>
  <c r="AE138" i="4"/>
  <c r="AE130" i="4"/>
  <c r="AE122" i="4"/>
  <c r="AE114" i="4"/>
  <c r="AE106" i="4"/>
  <c r="AE98" i="4"/>
  <c r="AE90" i="4"/>
  <c r="AE82" i="4"/>
  <c r="AE74" i="4"/>
  <c r="AE66" i="4"/>
  <c r="AE58" i="4"/>
  <c r="AE50" i="4"/>
  <c r="AE42" i="4"/>
  <c r="AE34" i="4"/>
  <c r="AE26" i="4"/>
  <c r="AE18" i="4"/>
  <c r="AD137" i="4"/>
  <c r="AD73" i="4"/>
  <c r="AD9" i="4"/>
  <c r="AD128" i="4"/>
  <c r="AD80" i="4"/>
  <c r="AD48" i="4"/>
  <c r="AD24" i="4"/>
  <c r="AN16" i="4"/>
  <c r="AD159" i="4"/>
  <c r="AD151" i="4"/>
  <c r="AD143" i="4"/>
  <c r="AD135" i="4"/>
  <c r="AD127" i="4"/>
  <c r="AD119" i="4"/>
  <c r="AD111" i="4"/>
  <c r="AD103" i="4"/>
  <c r="AD95" i="4"/>
  <c r="AD87" i="4"/>
  <c r="AD79" i="4"/>
  <c r="AD71" i="4"/>
  <c r="AD63" i="4"/>
  <c r="AD55" i="4"/>
  <c r="AD47" i="4"/>
  <c r="AD39" i="4"/>
  <c r="AD31" i="4"/>
  <c r="AD23" i="4"/>
  <c r="AD15" i="4"/>
  <c r="AD7" i="4"/>
  <c r="AN15" i="4"/>
  <c r="AE10" i="4"/>
  <c r="AD96" i="4"/>
  <c r="AD32" i="4"/>
  <c r="AD158" i="4"/>
  <c r="AD150" i="4"/>
  <c r="AD142" i="4"/>
  <c r="AD134" i="4"/>
  <c r="AD126" i="4"/>
  <c r="AD118" i="4"/>
  <c r="AD110" i="4"/>
  <c r="AD102" i="4"/>
  <c r="AD94" i="4"/>
  <c r="AD86" i="4"/>
  <c r="AD78" i="4"/>
  <c r="AD70" i="4"/>
  <c r="AD62" i="4"/>
  <c r="AD54" i="4"/>
  <c r="AD46" i="4"/>
  <c r="AD38" i="4"/>
  <c r="AD30" i="4"/>
  <c r="AD22" i="4"/>
  <c r="AD14" i="4"/>
  <c r="AD6" i="4"/>
  <c r="AN14" i="4"/>
  <c r="AM17" i="4"/>
  <c r="AM9" i="4"/>
  <c r="AD136" i="4"/>
  <c r="AD72" i="4"/>
  <c r="AD157" i="4"/>
  <c r="AD149" i="4"/>
  <c r="AD141" i="4"/>
  <c r="AD133" i="4"/>
  <c r="AD125" i="4"/>
  <c r="AD117" i="4"/>
  <c r="AD109" i="4"/>
  <c r="AD101" i="4"/>
  <c r="AD93" i="4"/>
  <c r="AD85" i="4"/>
  <c r="AD77" i="4"/>
  <c r="AD69" i="4"/>
  <c r="AD61" i="4"/>
  <c r="AD53" i="4"/>
  <c r="AD45" i="4"/>
  <c r="AD37" i="4"/>
  <c r="AD29" i="4"/>
  <c r="AD21" i="4"/>
  <c r="AD13" i="4"/>
  <c r="AD5" i="4"/>
  <c r="AE4" i="4"/>
  <c r="AE152" i="4"/>
  <c r="AE144" i="4"/>
  <c r="AE120" i="4"/>
  <c r="AE112" i="4"/>
  <c r="AE104" i="4"/>
  <c r="AE88" i="4"/>
  <c r="AE64" i="4"/>
  <c r="AE56" i="4"/>
  <c r="AE40" i="4"/>
  <c r="AE16" i="4"/>
  <c r="AE8" i="4"/>
  <c r="AM14" i="4"/>
  <c r="H152" i="4"/>
  <c r="H144" i="4"/>
  <c r="H70" i="4"/>
  <c r="H62" i="4"/>
  <c r="H54" i="4"/>
  <c r="H46" i="4"/>
  <c r="H156" i="4"/>
  <c r="H116" i="4"/>
  <c r="H104" i="4"/>
  <c r="H96" i="4"/>
  <c r="H80" i="4"/>
  <c r="H112" i="4"/>
  <c r="H88" i="4"/>
  <c r="H40" i="4"/>
  <c r="H32" i="4"/>
  <c r="H24" i="4"/>
  <c r="H16" i="4"/>
  <c r="H8" i="4"/>
  <c r="H72" i="4"/>
  <c r="H64" i="4"/>
  <c r="H56" i="4"/>
  <c r="H48" i="4"/>
  <c r="H136" i="4"/>
  <c r="H114" i="4"/>
  <c r="H106" i="4"/>
  <c r="J159" i="4"/>
  <c r="H108" i="4"/>
  <c r="Q4" i="4"/>
  <c r="H67" i="4"/>
  <c r="H59" i="4"/>
  <c r="H51" i="4"/>
  <c r="H43" i="4"/>
  <c r="H78" i="4"/>
  <c r="H6" i="4"/>
  <c r="H42" i="4"/>
  <c r="K159" i="4"/>
  <c r="H124" i="4"/>
  <c r="H66" i="4"/>
  <c r="H58" i="4"/>
  <c r="H50" i="4"/>
  <c r="H73" i="4"/>
  <c r="H65" i="4"/>
  <c r="H57" i="4"/>
  <c r="H49" i="4"/>
  <c r="H41" i="4"/>
  <c r="H100" i="4"/>
  <c r="H154" i="4"/>
  <c r="H146" i="4"/>
  <c r="H138" i="4"/>
  <c r="H130" i="4"/>
  <c r="H122" i="4"/>
  <c r="H132" i="4"/>
  <c r="H36" i="4"/>
  <c r="H28" i="4"/>
  <c r="H20" i="4"/>
  <c r="H12" i="4"/>
  <c r="H153" i="4"/>
  <c r="H145" i="4"/>
  <c r="H137" i="4"/>
  <c r="H129" i="4"/>
  <c r="H121" i="4"/>
  <c r="H86" i="4"/>
  <c r="H38" i="4"/>
  <c r="H98" i="4"/>
  <c r="H142" i="4"/>
  <c r="H37" i="4"/>
  <c r="H29" i="4"/>
  <c r="H21" i="4"/>
  <c r="H13" i="4"/>
  <c r="H92" i="4"/>
  <c r="H84" i="4"/>
  <c r="H76" i="4"/>
  <c r="H148" i="4"/>
  <c r="H5" i="4"/>
  <c r="H69" i="4"/>
  <c r="H45" i="4"/>
  <c r="H134" i="4"/>
  <c r="H107" i="4"/>
  <c r="H83" i="4"/>
  <c r="H27" i="4"/>
  <c r="H68" i="4"/>
  <c r="H60" i="4"/>
  <c r="H52" i="4"/>
  <c r="H44" i="4"/>
  <c r="H157" i="4"/>
  <c r="H149" i="4"/>
  <c r="H141" i="4"/>
  <c r="H133" i="4"/>
  <c r="H125" i="4"/>
  <c r="H117" i="4"/>
  <c r="H90" i="4"/>
  <c r="H82" i="4"/>
  <c r="H74" i="4"/>
  <c r="H34" i="4"/>
  <c r="H26" i="4"/>
  <c r="H18" i="4"/>
  <c r="H10" i="4"/>
  <c r="H61" i="4"/>
  <c r="H158" i="4"/>
  <c r="H118" i="4"/>
  <c r="H91" i="4"/>
  <c r="H35" i="4"/>
  <c r="H11" i="4"/>
  <c r="H110" i="4"/>
  <c r="H102" i="4"/>
  <c r="H94" i="4"/>
  <c r="H140" i="4"/>
  <c r="H53" i="4"/>
  <c r="H150" i="4"/>
  <c r="H126" i="4"/>
  <c r="H115" i="4"/>
  <c r="H99" i="4"/>
  <c r="H75" i="4"/>
  <c r="H19" i="4"/>
  <c r="H109" i="4"/>
  <c r="H101" i="4"/>
  <c r="H93" i="4"/>
  <c r="H85" i="4"/>
  <c r="H77" i="4"/>
  <c r="H155" i="4"/>
  <c r="H147" i="4"/>
  <c r="H139" i="4"/>
  <c r="H131" i="4"/>
  <c r="H123" i="4"/>
  <c r="H128" i="4"/>
  <c r="H120" i="4"/>
  <c r="D77"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AB40" i="6" l="1"/>
  <c r="AD47" i="6"/>
  <c r="Y45" i="6"/>
  <c r="Y46" i="6" s="1"/>
  <c r="Y39" i="6"/>
  <c r="AA35" i="6" s="1"/>
  <c r="Z38" i="6"/>
  <c r="AF71" i="6" s="1"/>
  <c r="S45" i="6"/>
  <c r="S46" i="6" s="1"/>
  <c r="Z36" i="6"/>
  <c r="Z39" i="6" s="1"/>
  <c r="Z40" i="6" s="1"/>
  <c r="C43" i="6"/>
  <c r="AK39" i="6"/>
  <c r="AK37" i="6"/>
  <c r="AK38" i="6"/>
  <c r="AM38" i="6" s="1"/>
  <c r="T43" i="6"/>
  <c r="T41" i="6"/>
  <c r="AK40" i="6"/>
  <c r="AM40" i="6" s="1"/>
  <c r="T42" i="6"/>
  <c r="AF46" i="6"/>
  <c r="AK43" i="6"/>
  <c r="S39" i="6"/>
  <c r="T16" i="6"/>
  <c r="O35" i="6"/>
  <c r="T35" i="6"/>
  <c r="U35" i="6" s="1"/>
  <c r="T37" i="6"/>
  <c r="F40" i="6"/>
  <c r="D43" i="6"/>
  <c r="X20" i="6"/>
  <c r="T38" i="6"/>
  <c r="Y36" i="5"/>
  <c r="S36" i="5"/>
  <c r="E32" i="2"/>
  <c r="Z15" i="2" s="1"/>
  <c r="E24" i="2"/>
  <c r="Z14" i="2" s="1"/>
  <c r="C39" i="5"/>
  <c r="Y34" i="5"/>
  <c r="Z34" i="5" s="1"/>
  <c r="B6" i="2"/>
  <c r="C6" i="2"/>
  <c r="D6" i="2"/>
  <c r="E6" i="2"/>
  <c r="P6" i="2"/>
  <c r="B7" i="2"/>
  <c r="C7" i="2"/>
  <c r="D7" i="2"/>
  <c r="E7" i="2"/>
  <c r="P7" i="2"/>
  <c r="B8" i="2"/>
  <c r="C8" i="2"/>
  <c r="D8" i="2"/>
  <c r="E8" i="2"/>
  <c r="P8" i="2"/>
  <c r="B9" i="2"/>
  <c r="C9" i="2"/>
  <c r="D9" i="2"/>
  <c r="E9" i="2"/>
  <c r="P9" i="2"/>
  <c r="B10" i="2"/>
  <c r="C10" i="2"/>
  <c r="D10" i="2"/>
  <c r="E10" i="2"/>
  <c r="P10" i="2"/>
  <c r="B11" i="2"/>
  <c r="C11" i="2"/>
  <c r="D11" i="2"/>
  <c r="E11" i="2"/>
  <c r="P11" i="2"/>
  <c r="B12" i="2"/>
  <c r="C12" i="2"/>
  <c r="D12" i="2"/>
  <c r="E12" i="2"/>
  <c r="P12" i="2"/>
  <c r="B13" i="2"/>
  <c r="C13" i="2"/>
  <c r="D13" i="2"/>
  <c r="E13" i="2"/>
  <c r="P13" i="2"/>
  <c r="D18" i="2"/>
  <c r="D19" i="2"/>
  <c r="D20" i="2"/>
  <c r="D21" i="2"/>
  <c r="D22" i="2"/>
  <c r="D23" i="2"/>
  <c r="I22" i="1"/>
  <c r="I21" i="1"/>
  <c r="I19" i="1"/>
  <c r="G9" i="1"/>
  <c r="G11" i="1"/>
  <c r="G10" i="1"/>
  <c r="D11" i="1"/>
  <c r="D4" i="1"/>
  <c r="D5" i="1"/>
  <c r="D6" i="1"/>
  <c r="D7" i="1"/>
  <c r="D9" i="1"/>
  <c r="D10" i="1"/>
  <c r="D3" i="1"/>
  <c r="D26" i="1"/>
  <c r="D27" i="1"/>
  <c r="C30" i="1"/>
  <c r="C24" i="1"/>
  <c r="C25" i="1"/>
  <c r="C26" i="1"/>
  <c r="C27" i="1"/>
  <c r="C28" i="1"/>
  <c r="C29" i="1"/>
  <c r="C23" i="1"/>
  <c r="C17" i="1"/>
  <c r="C18" i="1"/>
  <c r="C19" i="1"/>
  <c r="C20" i="1"/>
  <c r="C21" i="1"/>
  <c r="C16" i="1"/>
  <c r="B21" i="1"/>
  <c r="B30" i="1"/>
  <c r="E11" i="1"/>
  <c r="C11" i="1"/>
  <c r="E4" i="1"/>
  <c r="H16" i="5"/>
  <c r="AM39" i="6" l="1"/>
  <c r="AH46" i="6"/>
  <c r="AZ33" i="6"/>
  <c r="BA33" i="6" s="1"/>
  <c r="AM37" i="6"/>
  <c r="BI46" i="6" s="1"/>
  <c r="U37" i="6"/>
  <c r="Y16" i="6"/>
  <c r="Y19" i="6"/>
  <c r="Y18" i="6"/>
  <c r="E36" i="6"/>
  <c r="E40" i="6"/>
  <c r="E38" i="6"/>
  <c r="Y17" i="6"/>
  <c r="AK41" i="5"/>
  <c r="Z36" i="5"/>
  <c r="AD44" i="5"/>
  <c r="AK36" i="5" s="1"/>
  <c r="D39" i="5"/>
  <c r="D117" i="2"/>
  <c r="D14" i="2"/>
  <c r="P14" i="2"/>
  <c r="C14" i="2"/>
  <c r="Z13" i="2"/>
  <c r="B14" i="2"/>
  <c r="E14" i="2"/>
  <c r="L16" i="5"/>
  <c r="L35" i="5"/>
  <c r="L37" i="5"/>
  <c r="M37" i="5" s="1"/>
  <c r="C27" i="5"/>
  <c r="D27" i="5" s="1"/>
  <c r="E27" i="5" s="1"/>
  <c r="R18" i="5"/>
  <c r="U17" i="5" s="1"/>
  <c r="AO41" i="6" l="1"/>
  <c r="AV41" i="6"/>
  <c r="AM42" i="6"/>
  <c r="AM44" i="6"/>
  <c r="AM45" i="6" s="1"/>
  <c r="Z18" i="6"/>
  <c r="Z16" i="6"/>
  <c r="L19" i="5"/>
  <c r="M16" i="5"/>
  <c r="M19" i="5" s="1"/>
  <c r="AK37" i="5"/>
  <c r="AM37" i="5" s="1"/>
  <c r="AK39" i="5"/>
  <c r="AM39" i="5" s="1"/>
  <c r="AD45" i="5"/>
  <c r="AF45" i="5" s="1"/>
  <c r="AK38" i="5"/>
  <c r="AM38" i="5" s="1"/>
  <c r="AV40" i="5" s="1"/>
  <c r="AY42" i="5" s="1"/>
  <c r="AF44" i="5"/>
  <c r="N40" i="5"/>
  <c r="M35" i="5"/>
  <c r="M38" i="5" s="1"/>
  <c r="M40" i="5" s="1"/>
  <c r="AM36" i="5"/>
  <c r="BI42" i="5" s="1"/>
  <c r="AZ32" i="5"/>
  <c r="BA32" i="5" s="1"/>
  <c r="N21" i="5"/>
  <c r="R16" i="5"/>
  <c r="U15" i="5" s="1"/>
  <c r="R37" i="5"/>
  <c r="R35" i="5"/>
  <c r="S35" i="5" s="1"/>
  <c r="L38" i="5"/>
  <c r="X17" i="5"/>
  <c r="X18" i="5"/>
  <c r="N17" i="5"/>
  <c r="AN42" i="6" l="1"/>
  <c r="AN43" i="6"/>
  <c r="AY41" i="6"/>
  <c r="AV42" i="6"/>
  <c r="AY43" i="6"/>
  <c r="AY42" i="6"/>
  <c r="AY40" i="5"/>
  <c r="AY41" i="5"/>
  <c r="AZ41" i="5" s="1"/>
  <c r="AV41" i="5"/>
  <c r="Y37" i="5"/>
  <c r="S37" i="5"/>
  <c r="S38" i="5" s="1"/>
  <c r="BI43" i="5"/>
  <c r="AZ42" i="5"/>
  <c r="AN35" i="5"/>
  <c r="X16" i="5"/>
  <c r="R19" i="5"/>
  <c r="S17" i="5" s="1"/>
  <c r="V34" i="5"/>
  <c r="R38" i="5"/>
  <c r="T37" i="5" s="1"/>
  <c r="N34" i="5"/>
  <c r="N36" i="5"/>
  <c r="Y35" i="5"/>
  <c r="Z35" i="5" s="1"/>
  <c r="N35" i="5"/>
  <c r="N37" i="5"/>
  <c r="V36" i="5"/>
  <c r="C40" i="5"/>
  <c r="N16" i="5"/>
  <c r="N15" i="5"/>
  <c r="X15" i="5"/>
  <c r="N18" i="5"/>
  <c r="O17" i="5" s="1"/>
  <c r="AZ42" i="6" l="1"/>
  <c r="BI42" i="6"/>
  <c r="BI43" i="6"/>
  <c r="AZ43" i="6"/>
  <c r="AX44" i="6" s="1"/>
  <c r="AY44" i="6"/>
  <c r="AZ41" i="6"/>
  <c r="AZ32" i="6" s="1"/>
  <c r="AW44" i="6"/>
  <c r="BI41" i="5"/>
  <c r="AW43" i="5"/>
  <c r="AZ40" i="5"/>
  <c r="AX43" i="5" s="1"/>
  <c r="AK42" i="5"/>
  <c r="Z37" i="5"/>
  <c r="Z38" i="5"/>
  <c r="Z39" i="5" s="1"/>
  <c r="D40" i="5"/>
  <c r="D42" i="5" s="1"/>
  <c r="C42" i="5"/>
  <c r="E39" i="5" s="1"/>
  <c r="S15" i="5"/>
  <c r="S18" i="5"/>
  <c r="T17" i="5" s="1"/>
  <c r="S16" i="5"/>
  <c r="Y38" i="5"/>
  <c r="F39" i="5"/>
  <c r="T36" i="5"/>
  <c r="U36" i="5" s="1"/>
  <c r="T34" i="5"/>
  <c r="T35" i="5"/>
  <c r="O36" i="5"/>
  <c r="O34" i="5"/>
  <c r="O15" i="5"/>
  <c r="X19" i="5"/>
  <c r="Y15" i="5" s="1"/>
  <c r="G22" i="5"/>
  <c r="F23" i="5" s="1"/>
  <c r="F24" i="5" s="1"/>
  <c r="BA34" i="6" l="1"/>
  <c r="AZ34" i="6"/>
  <c r="AZ31" i="5"/>
  <c r="T15" i="5"/>
  <c r="E35" i="5"/>
  <c r="E37" i="5"/>
  <c r="AA36" i="5"/>
  <c r="AA34" i="5"/>
  <c r="AA37" i="5"/>
  <c r="U34" i="5"/>
  <c r="AA35" i="5"/>
  <c r="Y17" i="5"/>
  <c r="Y16" i="5"/>
  <c r="Y18" i="5"/>
  <c r="E15" i="5"/>
  <c r="BG32" i="6" l="1"/>
  <c r="BG34" i="6"/>
  <c r="BG33" i="6"/>
  <c r="BG35" i="6"/>
  <c r="BH35" i="6" s="1"/>
  <c r="AZ33" i="5"/>
  <c r="BA31" i="5"/>
  <c r="BA33" i="5" s="1"/>
  <c r="AB36" i="5"/>
  <c r="AB34" i="5"/>
  <c r="Z17" i="5"/>
  <c r="Z15" i="5"/>
  <c r="N24" i="2"/>
  <c r="AA38" i="6"/>
  <c r="Y59" i="6" l="1"/>
  <c r="Z59" i="6" s="1"/>
  <c r="BH33" i="6"/>
  <c r="BG36" i="6"/>
  <c r="BH34" i="6"/>
  <c r="BG38" i="6"/>
  <c r="BG39" i="6" s="1"/>
  <c r="BH32" i="6"/>
  <c r="Y58" i="6"/>
  <c r="BG32" i="5"/>
  <c r="BG31" i="5"/>
  <c r="BG34" i="5"/>
  <c r="BG33" i="5"/>
  <c r="AA36" i="6"/>
  <c r="AA37" i="6"/>
  <c r="AB37" i="6" s="1"/>
  <c r="AC65" i="6" l="1"/>
  <c r="AH62" i="6"/>
  <c r="Z58" i="6"/>
  <c r="AB35" i="6"/>
  <c r="AH59" i="6" l="1"/>
  <c r="AJ59" i="6" s="1"/>
  <c r="AQ61" i="6" s="1"/>
  <c r="AH57" i="6"/>
  <c r="AD65" i="6"/>
  <c r="AH60" i="6"/>
  <c r="AJ60" i="6" s="1"/>
  <c r="AH58" i="6"/>
  <c r="AJ58" i="6" s="1"/>
  <c r="AC66" i="6"/>
  <c r="AD66" i="6" l="1"/>
  <c r="AF68" i="6" s="1"/>
  <c r="AH63" i="6"/>
  <c r="AR68" i="6"/>
  <c r="AS68" i="6" s="1"/>
  <c r="AJ57" i="6"/>
  <c r="AQ62" i="6"/>
  <c r="AF69" i="6" s="1"/>
  <c r="AT61" i="6"/>
  <c r="AU61" i="6" s="1"/>
  <c r="AR67" i="6" s="1"/>
  <c r="AT62" i="6"/>
  <c r="AU62" i="6" s="1"/>
  <c r="AT63" i="6"/>
  <c r="AS67" i="6" l="1"/>
  <c r="AS69" i="6" s="1"/>
  <c r="AR69" i="6"/>
  <c r="AF70" i="6"/>
  <c r="AF72" i="6" s="1"/>
  <c r="BG72" i="6"/>
  <c r="AU63" i="6"/>
  <c r="BG71" i="6"/>
  <c r="BH71" i="6" s="1"/>
  <c r="AX68" i="6" l="1"/>
  <c r="AY68" i="6" s="1"/>
  <c r="AX67" i="6"/>
  <c r="AY67" i="6" s="1"/>
  <c r="AX70" i="6"/>
  <c r="AY70" i="6" s="1"/>
  <c r="AX69" i="6"/>
  <c r="AX71" i="6" l="1"/>
  <c r="AY69" i="6"/>
</calcChain>
</file>

<file path=xl/sharedStrings.xml><?xml version="1.0" encoding="utf-8"?>
<sst xmlns="http://schemas.openxmlformats.org/spreadsheetml/2006/main" count="854" uniqueCount="294">
  <si>
    <t xml:space="preserve">Light ends </t>
  </si>
  <si>
    <t>Gases</t>
  </si>
  <si>
    <t>Hp Gas</t>
  </si>
  <si>
    <t>Acid gas</t>
  </si>
  <si>
    <t>Cracked Naphtha</t>
  </si>
  <si>
    <t>Middle</t>
  </si>
  <si>
    <t>Kerosene</t>
  </si>
  <si>
    <t>Heavy</t>
  </si>
  <si>
    <t>Diesel</t>
  </si>
  <si>
    <t>Residue</t>
  </si>
  <si>
    <t>Gas oil</t>
  </si>
  <si>
    <t>-</t>
  </si>
  <si>
    <t>Hydrocracking textbook</t>
  </si>
  <si>
    <t>Factors influencing paper</t>
  </si>
  <si>
    <t>Material Balance of hydrocracking unit - example to calcu;ate wt%</t>
  </si>
  <si>
    <t>Feedstocks</t>
  </si>
  <si>
    <t>LVD</t>
  </si>
  <si>
    <t>HVD</t>
  </si>
  <si>
    <t>VBU VD</t>
  </si>
  <si>
    <t>Others</t>
  </si>
  <si>
    <t>H2</t>
  </si>
  <si>
    <t>Products</t>
  </si>
  <si>
    <t xml:space="preserve">Sulfane </t>
  </si>
  <si>
    <t>Light naphtha</t>
  </si>
  <si>
    <t>Heavy Naphtha</t>
  </si>
  <si>
    <t>Kerosene/JET A</t>
  </si>
  <si>
    <t xml:space="preserve">Gas oil </t>
  </si>
  <si>
    <t xml:space="preserve">Residue </t>
  </si>
  <si>
    <t xml:space="preserve">t/h </t>
  </si>
  <si>
    <t>Total</t>
  </si>
  <si>
    <t>Sum</t>
  </si>
  <si>
    <t>textbook normalised to 1</t>
  </si>
  <si>
    <t xml:space="preserve">So very high alpha values mean higher probability that they would keep reacting and so there would be less of them (lower weight fraction). And too low alpha values mean that the lower carbon numbers have a low chance if reacting so there is also low weight fractions of the heavier compounds. </t>
  </si>
  <si>
    <t>Wn at 0.85</t>
  </si>
  <si>
    <t>Wn at 0.95</t>
  </si>
  <si>
    <t>Wn @ 0.88</t>
  </si>
  <si>
    <t>n</t>
  </si>
  <si>
    <t>C9-C16</t>
  </si>
  <si>
    <t>For alpha value of 0.88</t>
  </si>
  <si>
    <t>Alpha values</t>
  </si>
  <si>
    <t>slopprodvsco2 = atf/co2</t>
  </si>
  <si>
    <t>kg of fuel</t>
  </si>
  <si>
    <t>m3</t>
  </si>
  <si>
    <t>Jan</t>
  </si>
  <si>
    <t>Feb</t>
  </si>
  <si>
    <t>Mar</t>
  </si>
  <si>
    <t>Apr</t>
  </si>
  <si>
    <t>May</t>
  </si>
  <si>
    <t>Jun</t>
  </si>
  <si>
    <t>Jul</t>
  </si>
  <si>
    <t>Aug</t>
  </si>
  <si>
    <t>Sept</t>
  </si>
  <si>
    <t>Oct</t>
  </si>
  <si>
    <t>Nov</t>
  </si>
  <si>
    <t>Dec</t>
  </si>
  <si>
    <t>For x3.73</t>
  </si>
  <si>
    <t>MATLAB Results</t>
  </si>
  <si>
    <t>Excel fuel demand</t>
  </si>
  <si>
    <t>2038 to 2050</t>
  </si>
  <si>
    <t>2038 to 2050 (columns 27 to 39 matlab)</t>
  </si>
  <si>
    <t>January 2019 values for 3.73</t>
  </si>
  <si>
    <t>MATLAB</t>
  </si>
  <si>
    <t>Excel</t>
  </si>
  <si>
    <t>(matlab-excel)/excel</t>
  </si>
  <si>
    <t>matlab/excel</t>
  </si>
  <si>
    <t>kg</t>
  </si>
  <si>
    <t>2.5x alue with new intercepts</t>
  </si>
  <si>
    <t xml:space="preserve">MATLAB results </t>
  </si>
  <si>
    <t xml:space="preserve">kg of fuel </t>
  </si>
  <si>
    <t>matlab-excel/excel</t>
  </si>
  <si>
    <t>2.5 value with new gradient and intercept</t>
  </si>
  <si>
    <t>2038-2050</t>
  </si>
  <si>
    <t>Matlab</t>
  </si>
  <si>
    <t>excel</t>
  </si>
  <si>
    <t>atlab/excel</t>
  </si>
  <si>
    <t>Co-Electrolysis Check</t>
  </si>
  <si>
    <t xml:space="preserve">A </t>
  </si>
  <si>
    <t>CO2</t>
  </si>
  <si>
    <t>B</t>
  </si>
  <si>
    <t>H2O</t>
  </si>
  <si>
    <t>C</t>
  </si>
  <si>
    <t>CO</t>
  </si>
  <si>
    <t>D</t>
  </si>
  <si>
    <t>E</t>
  </si>
  <si>
    <t>O2</t>
  </si>
  <si>
    <t>Compound</t>
  </si>
  <si>
    <t>Molar mass (kg/kmol)</t>
  </si>
  <si>
    <t>mass (kg)</t>
  </si>
  <si>
    <t>moles (kmol)</t>
  </si>
  <si>
    <t>CO2 + 2.12H2O = CO +  2.12H2 + 1.56O2</t>
  </si>
  <si>
    <t>Moles (kmol)</t>
  </si>
  <si>
    <t>Leftover</t>
  </si>
  <si>
    <t>Recycle</t>
  </si>
  <si>
    <t>Consumption/Production</t>
  </si>
  <si>
    <t>Product</t>
  </si>
  <si>
    <t>Components</t>
  </si>
  <si>
    <t>IN</t>
  </si>
  <si>
    <t>Feedstock_consumed</t>
  </si>
  <si>
    <t>Consumed</t>
  </si>
  <si>
    <t>CO2_consumed</t>
  </si>
  <si>
    <t>H2O_consumed</t>
  </si>
  <si>
    <t>Outlet</t>
  </si>
  <si>
    <t>CO2_out</t>
  </si>
  <si>
    <t>H2O_out</t>
  </si>
  <si>
    <t>CO_out</t>
  </si>
  <si>
    <t>H2_out</t>
  </si>
  <si>
    <t>O2_out</t>
  </si>
  <si>
    <t>CO2_recy</t>
  </si>
  <si>
    <t>H2O_recy</t>
  </si>
  <si>
    <t>CO_recy</t>
  </si>
  <si>
    <t>H2_recy</t>
  </si>
  <si>
    <t>CO2_prod</t>
  </si>
  <si>
    <t>H2O_prod</t>
  </si>
  <si>
    <t>CO_prod</t>
  </si>
  <si>
    <t>H2_prod</t>
  </si>
  <si>
    <t xml:space="preserve">Total </t>
  </si>
  <si>
    <t>Fraction</t>
  </si>
  <si>
    <t>Recycled_ feedgas (CO2+H2O)</t>
  </si>
  <si>
    <t>Recycled_ syngas</t>
  </si>
  <si>
    <t>Feedstock_in</t>
  </si>
  <si>
    <t>Tl_mol_in</t>
  </si>
  <si>
    <t>Feedstock</t>
  </si>
  <si>
    <t>Feedstock_out</t>
  </si>
  <si>
    <t>CO2_in</t>
  </si>
  <si>
    <t>H2O_in</t>
  </si>
  <si>
    <t>out</t>
  </si>
  <si>
    <t>in</t>
  </si>
  <si>
    <t>consumed</t>
  </si>
  <si>
    <t>% converted</t>
  </si>
  <si>
    <t>Without syngas components from previous recycle loop</t>
  </si>
  <si>
    <t>Including syngas components from previous recycle loop</t>
  </si>
  <si>
    <t>MATLAB Stream</t>
  </si>
  <si>
    <t>CnH2n+2</t>
  </si>
  <si>
    <t>H</t>
  </si>
  <si>
    <t>Alkanes</t>
  </si>
  <si>
    <t xml:space="preserve">For 2000 mols of CO </t>
  </si>
  <si>
    <t>Xn at 0.85</t>
  </si>
  <si>
    <t>MM</t>
  </si>
  <si>
    <t>mol</t>
  </si>
  <si>
    <t>For 2000kg of CO. Assuming the usage ratio remains at 2:1 H2:CO</t>
  </si>
  <si>
    <t>2CO + 5H2 = C2H6 + 2H2O</t>
  </si>
  <si>
    <t>C2H6</t>
  </si>
  <si>
    <t>Total C9 to C16 range</t>
  </si>
  <si>
    <t>Total C1-8</t>
  </si>
  <si>
    <t>Total C17-C100</t>
  </si>
  <si>
    <t>According to the mole fraction/distribution?</t>
  </si>
  <si>
    <t>Wn</t>
  </si>
  <si>
    <t>i.y(alpha,i)</t>
  </si>
  <si>
    <t>Xn or Yn = y(alpha,i)</t>
  </si>
  <si>
    <t>sum(i.y)</t>
  </si>
  <si>
    <t xml:space="preserve">ncave = Avg carbon number of all FT products. </t>
  </si>
  <si>
    <t>sum(12i+2i+2)*y(alpha,i)</t>
  </si>
  <si>
    <t>MWave of the FT products</t>
  </si>
  <si>
    <t>Weight fractions</t>
  </si>
  <si>
    <t>nc=sum(i.y)/y. Avg carbon number of each pseudo-component</t>
  </si>
  <si>
    <t>nCO + (2n+1)H2 ------&gt; CnH2n+2 + nH2O</t>
  </si>
  <si>
    <t>CO + (2+1/n)H2 -------&gt; (1/n)C(n)H(2n+2) + H2O</t>
  </si>
  <si>
    <r>
      <t xml:space="preserve">CO + uH2 --------&gt; </t>
    </r>
    <r>
      <rPr>
        <sz val="11"/>
        <color theme="1"/>
        <rFont val="Aptos Narrow"/>
        <family val="2"/>
      </rPr>
      <t>ΣVnCnH2n+2 + H2O</t>
    </r>
  </si>
  <si>
    <t>CO +  2.15H2 ----------&gt; (0.109) C3.67H9.34 (naphtha) + (0.0297) C11.67 H25.34 (mid) + (0.0111) C22.67 H47.34 (heavy) + H2O</t>
  </si>
  <si>
    <t>To FT reactor: 75% conversion of CO</t>
  </si>
  <si>
    <t>Product (kmol)</t>
  </si>
  <si>
    <t>Recycle (kmol)</t>
  </si>
  <si>
    <t>mol_c_react</t>
  </si>
  <si>
    <t>mol_d_consumed</t>
  </si>
  <si>
    <t>mol_C1to8</t>
  </si>
  <si>
    <t>mol_C9to16</t>
  </si>
  <si>
    <t>mol_C17plus</t>
  </si>
  <si>
    <t>Light</t>
  </si>
  <si>
    <t>1 mol CO</t>
  </si>
  <si>
    <t>mol_b_produced</t>
  </si>
  <si>
    <t>Unconsumed reactant</t>
  </si>
  <si>
    <t>mol_c_unreact</t>
  </si>
  <si>
    <t>neg(H2_count)</t>
  </si>
  <si>
    <t>FT_C1to8</t>
  </si>
  <si>
    <t>FT_C9to16</t>
  </si>
  <si>
    <t>FT_C17plus</t>
  </si>
  <si>
    <t xml:space="preserve">Product </t>
  </si>
  <si>
    <t>kmol</t>
  </si>
  <si>
    <t>mass_b_FT</t>
  </si>
  <si>
    <t>mass_c_FT</t>
  </si>
  <si>
    <t>mass_d_FT</t>
  </si>
  <si>
    <t>mass_H2_HC</t>
  </si>
  <si>
    <t>OUT</t>
  </si>
  <si>
    <t>mass_gases</t>
  </si>
  <si>
    <t>mass_naphs</t>
  </si>
  <si>
    <t>mass_hvy_dtls</t>
  </si>
  <si>
    <t>Hydrocracker (kg)</t>
  </si>
  <si>
    <t>wt% of reactant</t>
  </si>
  <si>
    <t>ATR Inlet</t>
  </si>
  <si>
    <t>from HC</t>
  </si>
  <si>
    <t>from FT</t>
  </si>
  <si>
    <t>MM_carbon</t>
  </si>
  <si>
    <t>MM_H</t>
  </si>
  <si>
    <t>mols_gases</t>
  </si>
  <si>
    <t>*Currently undefined in code</t>
  </si>
  <si>
    <t>Total inlet</t>
  </si>
  <si>
    <t>ATR (100% conversion)</t>
  </si>
  <si>
    <t>c_ATR</t>
  </si>
  <si>
    <t>d_ATR</t>
  </si>
  <si>
    <t>e_ATR</t>
  </si>
  <si>
    <t>b_ATR</t>
  </si>
  <si>
    <t>C3.67H9.34 + (3.67/4) O2 + (3.67/2) H2O------------&gt; 3.67CO + 12.01 H2</t>
  </si>
  <si>
    <t>To FT reactor for next loop</t>
  </si>
  <si>
    <t>(ini_FT_light_mass in 1st loop i.e. loop=2)</t>
  </si>
  <si>
    <t>FT Reactor</t>
  </si>
  <si>
    <t>sum_useful</t>
  </si>
  <si>
    <t>C9-16</t>
  </si>
  <si>
    <t>C1-8</t>
  </si>
  <si>
    <t>sum_light</t>
  </si>
  <si>
    <t>or less</t>
  </si>
  <si>
    <t>C17+</t>
  </si>
  <si>
    <t>sum_heavy</t>
  </si>
  <si>
    <t xml:space="preserve">******FOR COELECTROLYSIS BALANCE WOULD NEED TO EITHER CHANGE THE CODE TO THE SECOND SET OR CHANGE WHAT IS MULTIPLIED WITH THE CONVERISON FACTOR </t>
  </si>
  <si>
    <t>*****SEE IF IT BALANCES OUT IF WHAT IS MULTIPLIED BY THE CONVERSION FACTOR FOR THIS SET OF NUMBERS IS CELL C22</t>
  </si>
  <si>
    <t xml:space="preserve">COPY OF COELECTROLYSIS FILE FOR CHANGING INPUTS TO EACH UNIT. </t>
  </si>
  <si>
    <t>loop 1 cumulative correct</t>
  </si>
  <si>
    <t>ATR</t>
  </si>
  <si>
    <t>O2_Count</t>
  </si>
  <si>
    <t>e_ATR-eprod</t>
  </si>
  <si>
    <t>or less after last loop</t>
  </si>
  <si>
    <t>LOOP 2</t>
  </si>
  <si>
    <t>Input to FT Reactor</t>
  </si>
  <si>
    <t>1. Syngas from ATR</t>
  </si>
  <si>
    <t>CO from ATR</t>
  </si>
  <si>
    <t>H2 from ATR</t>
  </si>
  <si>
    <t>mol_b_prod</t>
  </si>
  <si>
    <t>mass_b_prod</t>
  </si>
  <si>
    <t>Hydrocracker</t>
  </si>
  <si>
    <t>mass_naphths</t>
  </si>
  <si>
    <t>mass_heavy</t>
  </si>
  <si>
    <t>IN (kg)</t>
  </si>
  <si>
    <t>ATR inlet</t>
  </si>
  <si>
    <t>ATR Products kmol</t>
  </si>
  <si>
    <t>ATR products kmol</t>
  </si>
  <si>
    <t xml:space="preserve">sufficient </t>
  </si>
  <si>
    <t>O2_count available for further loops</t>
  </si>
  <si>
    <t>Products (first loop i.e. loop=2)</t>
  </si>
  <si>
    <t xml:space="preserve">C17+ </t>
  </si>
  <si>
    <t xml:space="preserve">sum_light </t>
  </si>
  <si>
    <t>Products (second loop)</t>
  </si>
  <si>
    <t>MATLAB kg</t>
  </si>
  <si>
    <t>cumulative sum</t>
  </si>
  <si>
    <t xml:space="preserve">4. after these checks are done. Run a single month with the current slope and feed the syngas output into this FT. check values against what's given on matlab. This is to ensure fuel demand is passing the right thing. </t>
  </si>
  <si>
    <t>Break at:</t>
  </si>
  <si>
    <t xml:space="preserve">5. Note that mass of all produced heavy ends is the cumulative product from every loop. Doesn't account for the cracking yet. See mass of heavy ends to be sold for useful heavy ends </t>
  </si>
  <si>
    <t>2. see if there's a line to extract the C17+ to be sold: yes. See line 5</t>
  </si>
  <si>
    <t>tl_O2_inATR</t>
  </si>
  <si>
    <t>tl_CO_out_ATR</t>
  </si>
  <si>
    <t xml:space="preserve">MATLAB </t>
  </si>
  <si>
    <t>1. check h2o and o2 requirement to see if they match. Done</t>
  </si>
  <si>
    <t>3. is there any line to get the total O2 and H2 required at the end of the run? Would need to add up each array e.g. all h2o and all o2 etc</t>
  </si>
  <si>
    <t>User-entered CO2</t>
  </si>
  <si>
    <t>Useful products</t>
  </si>
  <si>
    <t>atf/co2</t>
  </si>
  <si>
    <t>Jan test kg</t>
  </si>
  <si>
    <t>7. Code to divide CO2 and sum_useful by province</t>
  </si>
  <si>
    <t>Total + O2</t>
  </si>
  <si>
    <t>6. See if numbers in workspace are the same as values from the last loop/last month: yes</t>
  </si>
  <si>
    <t>Total +O2</t>
  </si>
  <si>
    <t>matlab outputs for 2000kg</t>
  </si>
  <si>
    <t>Co-electrolysis:</t>
  </si>
  <si>
    <t>In</t>
  </si>
  <si>
    <t>Out</t>
  </si>
  <si>
    <t>FT</t>
  </si>
  <si>
    <t>Light ends</t>
  </si>
  <si>
    <t>HC</t>
  </si>
  <si>
    <t xml:space="preserve">In </t>
  </si>
  <si>
    <t>Heavy ends</t>
  </si>
  <si>
    <t xml:space="preserve">Light </t>
  </si>
  <si>
    <t xml:space="preserve">Middle </t>
  </si>
  <si>
    <t>Electricity</t>
  </si>
  <si>
    <t>Heat</t>
  </si>
  <si>
    <t>unreacted CO2</t>
  </si>
  <si>
    <t>unreacted H2O</t>
  </si>
  <si>
    <t xml:space="preserve">Unreacted CO </t>
  </si>
  <si>
    <t>Unreacted H2 (use for H2_count)</t>
  </si>
  <si>
    <t>Heavy sell</t>
  </si>
  <si>
    <t>O2 (for ATR)</t>
  </si>
  <si>
    <t xml:space="preserve">*O2_count. </t>
  </si>
  <si>
    <t xml:space="preserve">2. H2 requirement: </t>
  </si>
  <si>
    <r>
      <t xml:space="preserve">ii.) </t>
    </r>
    <r>
      <rPr>
        <b/>
        <sz val="11"/>
        <color theme="1"/>
        <rFont val="Calibri"/>
        <family val="2"/>
        <scheme val="minor"/>
      </rPr>
      <t>For HC</t>
    </r>
    <r>
      <rPr>
        <sz val="11"/>
        <color theme="1"/>
        <rFont val="Calibri"/>
        <family val="2"/>
        <scheme val="minor"/>
      </rPr>
      <t xml:space="preserve">: Given as "mass_H2_HC" in hydrocracker but not sized or defined in main. Size: tl_mass_H2_HC = zeros(6, additional_months+1). H2 would need to be bought. </t>
    </r>
  </si>
  <si>
    <t>Total H2 to be bought would need to add up tl_mass_H2_HC + Additional_H2_required_FT on the condition that Additional_H2_required is positive. If negative, then only H2 to be bought is tl_mass_H2_HC</t>
  </si>
  <si>
    <t xml:space="preserve">1. O2_requirement </t>
  </si>
  <si>
    <t>i. O2 requirement for the process is assumed to be satisfied by the O2 from SOEC (e_prod); Total O2 difference  = mass_e - sum(tl_O2_ATR)for each loop; &gt;0 then excess, &lt;0 deficient. Print as O2_monthly_count</t>
  </si>
  <si>
    <t>3. H2O requirement:</t>
  </si>
  <si>
    <r>
      <rPr>
        <b/>
        <sz val="11"/>
        <color theme="1"/>
        <rFont val="Calibri"/>
        <family val="2"/>
        <scheme val="minor"/>
      </rPr>
      <t>i.)For CoElec</t>
    </r>
    <r>
      <rPr>
        <sz val="11"/>
        <color theme="1"/>
        <rFont val="Calibri"/>
        <family val="2"/>
        <scheme val="minor"/>
      </rPr>
      <t>: Current tl_H2O_input_CoElec is = sum_b_in.  Should change this to mass_b_feed. Same with tl_CO2_input_CoElec; this should be the same as user_CO2 rather than sum_a_in i.e. fresh feed+recycle</t>
    </r>
  </si>
  <si>
    <r>
      <rPr>
        <sz val="11"/>
        <color theme="1"/>
        <rFont val="Calibri"/>
        <family val="2"/>
        <scheme val="minor"/>
      </rPr>
      <t xml:space="preserve">ii.) </t>
    </r>
    <r>
      <rPr>
        <b/>
        <sz val="11"/>
        <color theme="1"/>
        <rFont val="Calibri"/>
        <family val="2"/>
        <scheme val="minor"/>
      </rPr>
      <t xml:space="preserve">For ATR: </t>
    </r>
    <r>
      <rPr>
        <sz val="11"/>
        <color theme="1"/>
        <rFont val="Calibri"/>
        <family val="2"/>
        <scheme val="minor"/>
      </rPr>
      <t>tl_H2O_in_ATR</t>
    </r>
  </si>
  <si>
    <t>Total H2O to be bought is tl_H2O_input_CoElec + tl_H2O_in_ATR</t>
  </si>
  <si>
    <r>
      <t xml:space="preserve">i.) </t>
    </r>
    <r>
      <rPr>
        <b/>
        <sz val="11"/>
        <color theme="1"/>
        <rFont val="Calibri"/>
        <family val="2"/>
        <scheme val="minor"/>
      </rPr>
      <t>For FT</t>
    </r>
    <r>
      <rPr>
        <sz val="11"/>
        <color theme="1"/>
        <rFont val="Calibri"/>
        <family val="2"/>
        <scheme val="minor"/>
      </rPr>
      <t xml:space="preserve">: Should be excess as only 75% of CO coming in is reacted. H2 consumed given by: tl_H2_in_FT. if tl_H2_in_FT &gt; mass_d_prod, then H2 is deficient. Additional_H2_required_FT = tl_H2_in_FT - mass_d_prod. Print table monthly </t>
    </r>
  </si>
  <si>
    <r>
      <t xml:space="preserve">Comidy: Process Heat FT requirement: </t>
    </r>
    <r>
      <rPr>
        <sz val="11"/>
        <color theme="1"/>
        <rFont val="Calibri"/>
        <family val="2"/>
        <scheme val="minor"/>
      </rPr>
      <t xml:space="preserve">((-2140*(0.85^2) + 15133*0.85 - 49267)/(16 - 2*0.85)) * 0.184 KJ/kg </t>
    </r>
  </si>
  <si>
    <t>Klerk et al: -140 to -160 kJ/mol CO converted</t>
  </si>
  <si>
    <t>mols of syngas</t>
  </si>
  <si>
    <t>Exothermic. KJ/kg of product</t>
  </si>
  <si>
    <t>SOEC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</si>
</sst>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3" x14ac:knownFonts="1">
    <font>
      <sz val="11"/>
      <color theme="1"/>
      <name val="Calibri"/>
      <family val="2"/>
      <scheme val="minor"/>
    </font>
    <font>
      <sz val="11"/>
      <color theme="1"/>
      <name val="Calibri"/>
      <family val="2"/>
      <scheme val="minor"/>
    </font>
    <font>
      <b/>
      <sz val="11"/>
      <color theme="1"/>
      <name val="Calibri"/>
      <family val="2"/>
      <scheme val="minor"/>
    </font>
    <font>
      <b/>
      <sz val="11"/>
      <color rgb="FFFF0000"/>
      <name val="Calibri"/>
      <family val="2"/>
      <scheme val="minor"/>
    </font>
    <font>
      <sz val="11"/>
      <color rgb="FFFF0000"/>
      <name val="Calibri"/>
      <family val="2"/>
      <scheme val="minor"/>
    </font>
    <font>
      <sz val="11"/>
      <color theme="9"/>
      <name val="Calibri"/>
      <family val="2"/>
      <scheme val="minor"/>
    </font>
    <font>
      <sz val="11"/>
      <name val="Calibri"/>
      <family val="2"/>
      <scheme val="minor"/>
    </font>
    <font>
      <sz val="11"/>
      <color rgb="FFC00000"/>
      <name val="Calibri"/>
      <family val="2"/>
      <scheme val="minor"/>
    </font>
    <font>
      <sz val="8"/>
      <name val="Calibri"/>
      <family val="2"/>
      <scheme val="minor"/>
    </font>
    <font>
      <sz val="11"/>
      <color theme="1"/>
      <name val="Aptos Narrow"/>
      <family val="2"/>
    </font>
    <font>
      <sz val="11"/>
      <color rgb="FF006100"/>
      <name val="Calibri"/>
      <family val="2"/>
      <scheme val="minor"/>
    </font>
    <font>
      <sz val="11"/>
      <color rgb="FF9C5700"/>
      <name val="Calibri"/>
      <family val="2"/>
      <scheme val="minor"/>
    </font>
    <font>
      <sz val="11"/>
      <color rgb="FF3F3F76"/>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C6EFCE"/>
      </patternFill>
    </fill>
    <fill>
      <patternFill patternType="solid">
        <fgColor rgb="FFFFEB9C"/>
      </patternFill>
    </fill>
    <fill>
      <patternFill patternType="solid">
        <fgColor rgb="FFFFCC99"/>
      </patternFill>
    </fill>
    <fill>
      <patternFill patternType="solid">
        <fgColor rgb="FFFFFFCC"/>
      </patternFill>
    </fill>
    <fill>
      <patternFill patternType="solid">
        <fgColor theme="4" tint="0.39997558519241921"/>
        <bgColor indexed="64"/>
      </patternFill>
    </fill>
  </fills>
  <borders count="2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s>
  <cellStyleXfs count="6">
    <xf numFmtId="0" fontId="0" fillId="0" borderId="0"/>
    <xf numFmtId="9" fontId="1" fillId="0" borderId="0" applyFont="0" applyFill="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18" applyNumberFormat="0" applyAlignment="0" applyProtection="0"/>
    <xf numFmtId="0" fontId="1" fillId="6" borderId="19" applyNumberFormat="0" applyFont="0" applyAlignment="0" applyProtection="0"/>
  </cellStyleXfs>
  <cellXfs count="119">
    <xf numFmtId="0" fontId="0" fillId="0" borderId="0" xfId="0"/>
    <xf numFmtId="0" fontId="0" fillId="2" borderId="0" xfId="0" applyFill="1"/>
    <xf numFmtId="0" fontId="2" fillId="0" borderId="0" xfId="0" applyFont="1"/>
    <xf numFmtId="164" fontId="0" fillId="0" borderId="0" xfId="1" applyNumberFormat="1" applyFont="1"/>
    <xf numFmtId="164" fontId="0" fillId="0" borderId="0" xfId="0" applyNumberFormat="1"/>
    <xf numFmtId="0" fontId="0" fillId="0" borderId="0" xfId="0" applyAlignment="1">
      <alignment wrapText="1"/>
    </xf>
    <xf numFmtId="0" fontId="2" fillId="0" borderId="0" xfId="0" applyFont="1" applyAlignment="1">
      <alignment wrapText="1"/>
    </xf>
    <xf numFmtId="16" fontId="2" fillId="0" borderId="0" xfId="0" applyNumberFormat="1" applyFont="1"/>
    <xf numFmtId="2" fontId="0" fillId="0" borderId="0" xfId="0" applyNumberFormat="1"/>
    <xf numFmtId="0" fontId="0" fillId="0" borderId="0" xfId="0" applyAlignment="1">
      <alignment horizontal="center"/>
    </xf>
    <xf numFmtId="0" fontId="0" fillId="0" borderId="0" xfId="0" applyAlignment="1">
      <alignment horizontal="fill"/>
    </xf>
    <xf numFmtId="11" fontId="0" fillId="0" borderId="0" xfId="0" applyNumberFormat="1"/>
    <xf numFmtId="3" fontId="0" fillId="0" borderId="0" xfId="0" applyNumberFormat="1"/>
    <xf numFmtId="2" fontId="0" fillId="2" borderId="0" xfId="0" applyNumberFormat="1" applyFill="1"/>
    <xf numFmtId="11" fontId="0" fillId="2" borderId="0" xfId="0" applyNumberFormat="1" applyFill="1"/>
    <xf numFmtId="0" fontId="0" fillId="2" borderId="0" xfId="0" applyFill="1" applyAlignment="1">
      <alignment horizontal="fill"/>
    </xf>
    <xf numFmtId="9" fontId="0" fillId="0" borderId="0" xfId="1" applyFont="1"/>
    <xf numFmtId="0" fontId="2" fillId="0" borderId="0" xfId="0" applyFont="1" applyAlignment="1">
      <alignment horizontal="center"/>
    </xf>
    <xf numFmtId="9" fontId="0" fillId="0" borderId="0" xfId="0" applyNumberFormat="1"/>
    <xf numFmtId="0" fontId="3" fillId="0" borderId="0" xfId="0" applyFont="1" applyAlignment="1">
      <alignment wrapText="1"/>
    </xf>
    <xf numFmtId="0" fontId="4" fillId="0" borderId="0" xfId="0" applyFont="1"/>
    <xf numFmtId="0" fontId="0" fillId="0" borderId="1" xfId="0" applyBorder="1"/>
    <xf numFmtId="0" fontId="0" fillId="0" borderId="4" xfId="0" applyBorder="1"/>
    <xf numFmtId="0" fontId="0" fillId="0" borderId="5" xfId="0" applyBorder="1"/>
    <xf numFmtId="2" fontId="0" fillId="0" borderId="7" xfId="0" applyNumberFormat="1" applyBorder="1"/>
    <xf numFmtId="0" fontId="0" fillId="0" borderId="7" xfId="0" applyBorder="1"/>
    <xf numFmtId="0" fontId="0" fillId="0" borderId="2" xfId="0" applyBorder="1"/>
    <xf numFmtId="2" fontId="0" fillId="0" borderId="0" xfId="1" applyNumberFormat="1" applyFont="1" applyAlignment="1">
      <alignment horizontal="center"/>
    </xf>
    <xf numFmtId="165" fontId="0" fillId="0" borderId="0" xfId="1" applyNumberFormat="1" applyFont="1" applyAlignment="1">
      <alignment horizontal="center"/>
    </xf>
    <xf numFmtId="0" fontId="5" fillId="0" borderId="2" xfId="0" applyFont="1" applyBorder="1"/>
    <xf numFmtId="0" fontId="5" fillId="0" borderId="7" xfId="0" applyFont="1" applyBorder="1"/>
    <xf numFmtId="0" fontId="5" fillId="0" borderId="0" xfId="0" applyFont="1"/>
    <xf numFmtId="9" fontId="5" fillId="0" borderId="0" xfId="1" applyFont="1"/>
    <xf numFmtId="0" fontId="6" fillId="0" borderId="0" xfId="0" applyFont="1"/>
    <xf numFmtId="0" fontId="2" fillId="0" borderId="7" xfId="0" applyFont="1" applyBorder="1"/>
    <xf numFmtId="0" fontId="7" fillId="0" borderId="8" xfId="0" applyFont="1" applyBorder="1"/>
    <xf numFmtId="0" fontId="2" fillId="0" borderId="1" xfId="0" applyFont="1" applyBorder="1"/>
    <xf numFmtId="0" fontId="2" fillId="0" borderId="3" xfId="0" applyFont="1" applyBorder="1"/>
    <xf numFmtId="0" fontId="0" fillId="0" borderId="6"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applyAlignment="1">
      <alignment horizontal="center" vertical="top"/>
    </xf>
    <xf numFmtId="9" fontId="0" fillId="0" borderId="0" xfId="0" applyNumberFormat="1" applyAlignment="1">
      <alignment horizontal="center"/>
    </xf>
    <xf numFmtId="0" fontId="2" fillId="0" borderId="2" xfId="0" applyFont="1" applyBorder="1"/>
    <xf numFmtId="0" fontId="0" fillId="0" borderId="3" xfId="0" applyBorder="1"/>
    <xf numFmtId="9" fontId="0" fillId="0" borderId="0" xfId="1" applyFont="1" applyBorder="1"/>
    <xf numFmtId="0" fontId="2" fillId="0" borderId="6" xfId="0" applyFont="1" applyBorder="1"/>
    <xf numFmtId="0" fontId="0" fillId="0" borderId="4" xfId="0" applyBorder="1" applyAlignment="1">
      <alignment wrapText="1"/>
    </xf>
    <xf numFmtId="0" fontId="0" fillId="0" borderId="7" xfId="0" applyBorder="1" applyAlignment="1">
      <alignment wrapText="1"/>
    </xf>
    <xf numFmtId="0" fontId="2" fillId="0" borderId="5" xfId="0" applyFont="1" applyBorder="1"/>
    <xf numFmtId="0" fontId="2" fillId="0" borderId="10" xfId="0" applyFont="1" applyBorder="1"/>
    <xf numFmtId="0" fontId="5" fillId="0" borderId="5" xfId="0" applyFont="1" applyBorder="1"/>
    <xf numFmtId="0" fontId="2" fillId="0" borderId="9" xfId="0" applyFont="1" applyBorder="1"/>
    <xf numFmtId="0" fontId="0" fillId="0" borderId="14" xfId="0" applyBorder="1"/>
    <xf numFmtId="0" fontId="10" fillId="3" borderId="3" xfId="2" applyBorder="1"/>
    <xf numFmtId="0" fontId="10" fillId="3" borderId="5" xfId="2" applyBorder="1"/>
    <xf numFmtId="0" fontId="10" fillId="3" borderId="0" xfId="2" applyBorder="1"/>
    <xf numFmtId="0" fontId="10" fillId="3" borderId="7" xfId="2" applyBorder="1"/>
    <xf numFmtId="0" fontId="10" fillId="3" borderId="0" xfId="2"/>
    <xf numFmtId="0" fontId="0" fillId="0" borderId="0" xfId="0" quotePrefix="1"/>
    <xf numFmtId="0" fontId="11" fillId="4" borderId="0" xfId="3"/>
    <xf numFmtId="0" fontId="10" fillId="3" borderId="8" xfId="2" applyBorder="1"/>
    <xf numFmtId="0" fontId="12" fillId="5" borderId="18" xfId="4"/>
    <xf numFmtId="0" fontId="12" fillId="6" borderId="19" xfId="5" applyFont="1"/>
    <xf numFmtId="9" fontId="0" fillId="0" borderId="3" xfId="1" applyFont="1" applyBorder="1"/>
    <xf numFmtId="9" fontId="0" fillId="0" borderId="5" xfId="1" applyFont="1" applyBorder="1"/>
    <xf numFmtId="0" fontId="2" fillId="0" borderId="4" xfId="0" applyFont="1" applyBorder="1"/>
    <xf numFmtId="9" fontId="5" fillId="0" borderId="0" xfId="1" applyFont="1" applyBorder="1"/>
    <xf numFmtId="0" fontId="2" fillId="0" borderId="6" xfId="0" applyFont="1" applyBorder="1" applyAlignment="1">
      <alignment wrapText="1"/>
    </xf>
    <xf numFmtId="0" fontId="6" fillId="0" borderId="7" xfId="0" applyFont="1" applyBorder="1"/>
    <xf numFmtId="11" fontId="2" fillId="0" borderId="0" xfId="0" applyNumberFormat="1" applyFont="1"/>
    <xf numFmtId="11" fontId="10" fillId="3" borderId="3" xfId="2" applyNumberFormat="1" applyBorder="1"/>
    <xf numFmtId="11" fontId="10" fillId="3" borderId="5" xfId="2" applyNumberFormat="1" applyBorder="1"/>
    <xf numFmtId="11" fontId="0" fillId="0" borderId="5" xfId="0" applyNumberFormat="1" applyBorder="1"/>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2" xfId="0" applyBorder="1" applyAlignment="1">
      <alignment horizontal="center" vertical="top"/>
    </xf>
    <xf numFmtId="0" fontId="0" fillId="0" borderId="0" xfId="0" applyAlignment="1">
      <alignment horizontal="center" vertical="top"/>
    </xf>
    <xf numFmtId="0" fontId="0" fillId="0" borderId="0" xfId="0"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12" xfId="0" applyFont="1" applyBorder="1" applyAlignment="1">
      <alignment horizontal="center"/>
    </xf>
    <xf numFmtId="0" fontId="2" fillId="0" borderId="13" xfId="0" applyFont="1" applyBorder="1" applyAlignment="1">
      <alignment horizontal="center"/>
    </xf>
    <xf numFmtId="0" fontId="0" fillId="0" borderId="6" xfId="0" applyBorder="1" applyAlignment="1">
      <alignment horizontal="center" wrapText="1"/>
    </xf>
    <xf numFmtId="0" fontId="0" fillId="0" borderId="7" xfId="0" applyBorder="1" applyAlignment="1">
      <alignment horizontal="center" wrapText="1"/>
    </xf>
    <xf numFmtId="0" fontId="2" fillId="0" borderId="0" xfId="0" applyFont="1" applyAlignment="1">
      <alignment horizontal="center"/>
    </xf>
    <xf numFmtId="0" fontId="2" fillId="0" borderId="5" xfId="0" applyFont="1" applyBorder="1" applyAlignment="1">
      <alignment horizontal="center"/>
    </xf>
    <xf numFmtId="9" fontId="0" fillId="0" borderId="5" xfId="0" applyNumberFormat="1" applyBorder="1" applyAlignment="1">
      <alignment horizontal="center"/>
    </xf>
    <xf numFmtId="0" fontId="0" fillId="0" borderId="5" xfId="0" applyBorder="1" applyAlignment="1">
      <alignment horizontal="center"/>
    </xf>
    <xf numFmtId="0" fontId="2" fillId="0" borderId="15" xfId="0" applyFont="1" applyBorder="1" applyAlignment="1">
      <alignment horizontal="center"/>
    </xf>
    <xf numFmtId="0" fontId="2" fillId="0" borderId="16" xfId="0" applyFont="1" applyBorder="1" applyAlignment="1">
      <alignment horizontal="center"/>
    </xf>
    <xf numFmtId="0" fontId="2" fillId="0" borderId="17" xfId="0" applyFont="1" applyBorder="1" applyAlignment="1">
      <alignment horizontal="center"/>
    </xf>
    <xf numFmtId="0" fontId="2" fillId="7" borderId="0" xfId="0" applyFont="1" applyFill="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0" fillId="6" borderId="19" xfId="5" applyFont="1" applyAlignment="1">
      <alignment horizontal="center" wrapText="1"/>
    </xf>
    <xf numFmtId="0" fontId="2" fillId="0" borderId="1" xfId="0" applyFont="1" applyBorder="1" applyAlignment="1">
      <alignment horizontal="center" wrapText="1"/>
    </xf>
    <xf numFmtId="0" fontId="2" fillId="0" borderId="6" xfId="0" applyFont="1" applyBorder="1" applyAlignment="1">
      <alignment horizontal="center" wrapText="1"/>
    </xf>
    <xf numFmtId="10" fontId="0" fillId="0" borderId="2" xfId="1" applyNumberFormat="1" applyFont="1" applyBorder="1" applyAlignment="1">
      <alignment horizontal="center"/>
    </xf>
    <xf numFmtId="10" fontId="0" fillId="0" borderId="7" xfId="1" applyNumberFormat="1" applyFont="1" applyBorder="1" applyAlignment="1">
      <alignment horizontal="center"/>
    </xf>
    <xf numFmtId="0" fontId="0" fillId="0" borderId="3" xfId="0" applyBorder="1" applyAlignment="1">
      <alignment horizontal="center"/>
    </xf>
    <xf numFmtId="0" fontId="0" fillId="0" borderId="8" xfId="0" applyBorder="1" applyAlignment="1">
      <alignment horizontal="center"/>
    </xf>
    <xf numFmtId="9" fontId="0" fillId="0" borderId="0" xfId="1" applyFont="1" applyBorder="1" applyAlignment="1">
      <alignment horizontal="center"/>
    </xf>
    <xf numFmtId="165" fontId="0" fillId="0" borderId="5" xfId="1" applyNumberFormat="1" applyFont="1" applyBorder="1" applyAlignment="1">
      <alignment horizontal="center"/>
    </xf>
    <xf numFmtId="0" fontId="0" fillId="0" borderId="2" xfId="0" applyBorder="1" applyAlignment="1">
      <alignment horizontal="center"/>
    </xf>
    <xf numFmtId="0" fontId="2" fillId="0" borderId="4" xfId="0" applyFont="1" applyBorder="1" applyAlignment="1">
      <alignment horizontal="center" vertical="center" wrapText="1"/>
    </xf>
    <xf numFmtId="10" fontId="0" fillId="0" borderId="0" xfId="1" applyNumberFormat="1" applyFont="1" applyBorder="1" applyAlignment="1">
      <alignment horizontal="center"/>
    </xf>
    <xf numFmtId="2" fontId="0" fillId="0" borderId="5" xfId="1" applyNumberFormat="1" applyFont="1" applyBorder="1" applyAlignment="1">
      <alignment horizontal="center"/>
    </xf>
    <xf numFmtId="0" fontId="2" fillId="0" borderId="4" xfId="0" applyFont="1" applyBorder="1" applyAlignment="1">
      <alignment horizontal="center"/>
    </xf>
    <xf numFmtId="0" fontId="2" fillId="0" borderId="14" xfId="0" applyFont="1" applyBorder="1" applyAlignment="1">
      <alignment horizontal="center"/>
    </xf>
    <xf numFmtId="0" fontId="0" fillId="0" borderId="0" xfId="0" applyAlignment="1">
      <alignment horizontal="center" wrapText="1"/>
    </xf>
    <xf numFmtId="9" fontId="0" fillId="0" borderId="0" xfId="1" applyFont="1" applyAlignment="1">
      <alignment horizontal="center"/>
    </xf>
    <xf numFmtId="2" fontId="0" fillId="0" borderId="0" xfId="1" applyNumberFormat="1" applyFont="1" applyAlignment="1">
      <alignment horizontal="center"/>
    </xf>
    <xf numFmtId="9" fontId="0" fillId="0" borderId="0" xfId="0" applyNumberFormat="1" applyAlignment="1">
      <alignment horizontal="center"/>
    </xf>
    <xf numFmtId="165" fontId="0" fillId="0" borderId="0" xfId="1" applyNumberFormat="1" applyFont="1" applyAlignment="1">
      <alignment horizontal="center"/>
    </xf>
  </cellXfs>
  <cellStyles count="6">
    <cellStyle name="Good" xfId="2" builtinId="26"/>
    <cellStyle name="Input" xfId="4" builtinId="20"/>
    <cellStyle name="Neutral" xfId="3" builtinId="28"/>
    <cellStyle name="Normal" xfId="0" builtinId="0"/>
    <cellStyle name="Note" xfId="5" builtinId="1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28</xdr:col>
      <xdr:colOff>0</xdr:colOff>
      <xdr:row>35</xdr:row>
      <xdr:rowOff>177800</xdr:rowOff>
    </xdr:from>
    <xdr:to>
      <xdr:col>34</xdr:col>
      <xdr:colOff>25400</xdr:colOff>
      <xdr:row>35</xdr:row>
      <xdr:rowOff>177800</xdr:rowOff>
    </xdr:to>
    <xdr:cxnSp macro="">
      <xdr:nvCxnSpPr>
        <xdr:cNvPr id="2" name="Straight Arrow Connector 1">
          <a:extLst>
            <a:ext uri="{FF2B5EF4-FFF2-40B4-BE49-F238E27FC236}">
              <a16:creationId xmlns:a16="http://schemas.microsoft.com/office/drawing/2014/main" id="{A0A7D121-07BB-494C-9FC8-D320F51DF2DF}"/>
            </a:ext>
          </a:extLst>
        </xdr:cNvPr>
        <xdr:cNvCxnSpPr/>
      </xdr:nvCxnSpPr>
      <xdr:spPr>
        <a:xfrm>
          <a:off x="18844260" y="7180580"/>
          <a:ext cx="40259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598714</xdr:colOff>
      <xdr:row>36</xdr:row>
      <xdr:rowOff>0</xdr:rowOff>
    </xdr:from>
    <xdr:to>
      <xdr:col>31</xdr:col>
      <xdr:colOff>0</xdr:colOff>
      <xdr:row>42</xdr:row>
      <xdr:rowOff>10885</xdr:rowOff>
    </xdr:to>
    <xdr:cxnSp macro="">
      <xdr:nvCxnSpPr>
        <xdr:cNvPr id="3" name="Straight Arrow Connector 2">
          <a:extLst>
            <a:ext uri="{FF2B5EF4-FFF2-40B4-BE49-F238E27FC236}">
              <a16:creationId xmlns:a16="http://schemas.microsoft.com/office/drawing/2014/main" id="{91EC8176-5478-40B8-AF53-06203266E0CB}"/>
            </a:ext>
          </a:extLst>
        </xdr:cNvPr>
        <xdr:cNvCxnSpPr/>
      </xdr:nvCxnSpPr>
      <xdr:spPr>
        <a:xfrm flipH="1">
          <a:off x="20784094" y="7185660"/>
          <a:ext cx="10886" cy="14891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8467</xdr:colOff>
      <xdr:row>29</xdr:row>
      <xdr:rowOff>93133</xdr:rowOff>
    </xdr:from>
    <xdr:to>
      <xdr:col>32</xdr:col>
      <xdr:colOff>25400</xdr:colOff>
      <xdr:row>29</xdr:row>
      <xdr:rowOff>101600</xdr:rowOff>
    </xdr:to>
    <xdr:cxnSp macro="">
      <xdr:nvCxnSpPr>
        <xdr:cNvPr id="4" name="Straight Arrow Connector 3">
          <a:extLst>
            <a:ext uri="{FF2B5EF4-FFF2-40B4-BE49-F238E27FC236}">
              <a16:creationId xmlns:a16="http://schemas.microsoft.com/office/drawing/2014/main" id="{8868F078-C75D-4B29-9BF5-FB2532FD7197}"/>
            </a:ext>
          </a:extLst>
        </xdr:cNvPr>
        <xdr:cNvCxnSpPr/>
      </xdr:nvCxnSpPr>
      <xdr:spPr>
        <a:xfrm>
          <a:off x="20803447" y="5983393"/>
          <a:ext cx="626533" cy="8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0</xdr:colOff>
      <xdr:row>38</xdr:row>
      <xdr:rowOff>0</xdr:rowOff>
    </xdr:from>
    <xdr:to>
      <xdr:col>46</xdr:col>
      <xdr:colOff>16933</xdr:colOff>
      <xdr:row>38</xdr:row>
      <xdr:rowOff>8467</xdr:rowOff>
    </xdr:to>
    <xdr:cxnSp macro="">
      <xdr:nvCxnSpPr>
        <xdr:cNvPr id="5" name="Straight Arrow Connector 4">
          <a:extLst>
            <a:ext uri="{FF2B5EF4-FFF2-40B4-BE49-F238E27FC236}">
              <a16:creationId xmlns:a16="http://schemas.microsoft.com/office/drawing/2014/main" id="{1E0855AC-52EB-43AB-996E-D06CE5C5CDA2}"/>
            </a:ext>
          </a:extLst>
        </xdr:cNvPr>
        <xdr:cNvCxnSpPr/>
      </xdr:nvCxnSpPr>
      <xdr:spPr>
        <a:xfrm flipV="1">
          <a:off x="26212800" y="7566660"/>
          <a:ext cx="4451773" cy="8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217713</xdr:colOff>
      <xdr:row>34</xdr:row>
      <xdr:rowOff>21772</xdr:rowOff>
    </xdr:from>
    <xdr:to>
      <xdr:col>50</xdr:col>
      <xdr:colOff>576942</xdr:colOff>
      <xdr:row>37</xdr:row>
      <xdr:rowOff>1</xdr:rowOff>
    </xdr:to>
    <xdr:cxnSp macro="">
      <xdr:nvCxnSpPr>
        <xdr:cNvPr id="6" name="Connector: Elbow 5">
          <a:extLst>
            <a:ext uri="{FF2B5EF4-FFF2-40B4-BE49-F238E27FC236}">
              <a16:creationId xmlns:a16="http://schemas.microsoft.com/office/drawing/2014/main" id="{46DF18E4-2FE6-4DAC-9F67-49D015B62CE5}"/>
            </a:ext>
          </a:extLst>
        </xdr:cNvPr>
        <xdr:cNvCxnSpPr/>
      </xdr:nvCxnSpPr>
      <xdr:spPr>
        <a:xfrm rot="5400000" flipH="1" flipV="1">
          <a:off x="33581883" y="6929302"/>
          <a:ext cx="534489" cy="359229"/>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381000</xdr:colOff>
      <xdr:row>30</xdr:row>
      <xdr:rowOff>169333</xdr:rowOff>
    </xdr:from>
    <xdr:to>
      <xdr:col>49</xdr:col>
      <xdr:colOff>8466</xdr:colOff>
      <xdr:row>31</xdr:row>
      <xdr:rowOff>25400</xdr:rowOff>
    </xdr:to>
    <xdr:cxnSp macro="">
      <xdr:nvCxnSpPr>
        <xdr:cNvPr id="7" name="Connector: Elbow 6">
          <a:extLst>
            <a:ext uri="{FF2B5EF4-FFF2-40B4-BE49-F238E27FC236}">
              <a16:creationId xmlns:a16="http://schemas.microsoft.com/office/drawing/2014/main" id="{850CA6BF-014A-4EF3-9000-5634F6BBDA2C}"/>
            </a:ext>
          </a:extLst>
        </xdr:cNvPr>
        <xdr:cNvCxnSpPr/>
      </xdr:nvCxnSpPr>
      <xdr:spPr>
        <a:xfrm flipV="1">
          <a:off x="27813000" y="6242473"/>
          <a:ext cx="5037666" cy="38947"/>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0</xdr:colOff>
      <xdr:row>32</xdr:row>
      <xdr:rowOff>0</xdr:rowOff>
    </xdr:from>
    <xdr:to>
      <xdr:col>62</xdr:col>
      <xdr:colOff>16933</xdr:colOff>
      <xdr:row>32</xdr:row>
      <xdr:rowOff>8467</xdr:rowOff>
    </xdr:to>
    <xdr:cxnSp macro="">
      <xdr:nvCxnSpPr>
        <xdr:cNvPr id="8" name="Straight Arrow Connector 7">
          <a:extLst>
            <a:ext uri="{FF2B5EF4-FFF2-40B4-BE49-F238E27FC236}">
              <a16:creationId xmlns:a16="http://schemas.microsoft.com/office/drawing/2014/main" id="{A1EFDFC3-33BA-46B7-AB17-7ED6F9D31212}"/>
            </a:ext>
          </a:extLst>
        </xdr:cNvPr>
        <xdr:cNvCxnSpPr/>
      </xdr:nvCxnSpPr>
      <xdr:spPr>
        <a:xfrm>
          <a:off x="39037260" y="6446520"/>
          <a:ext cx="1845733" cy="8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397933</xdr:colOff>
      <xdr:row>31</xdr:row>
      <xdr:rowOff>8467</xdr:rowOff>
    </xdr:from>
    <xdr:to>
      <xdr:col>41</xdr:col>
      <xdr:colOff>397933</xdr:colOff>
      <xdr:row>37</xdr:row>
      <xdr:rowOff>160867</xdr:rowOff>
    </xdr:to>
    <xdr:cxnSp macro="">
      <xdr:nvCxnSpPr>
        <xdr:cNvPr id="9" name="Straight Arrow Connector 8">
          <a:extLst>
            <a:ext uri="{FF2B5EF4-FFF2-40B4-BE49-F238E27FC236}">
              <a16:creationId xmlns:a16="http://schemas.microsoft.com/office/drawing/2014/main" id="{09C0D9F3-E38C-40C6-9B6A-FBDE979B2B36}"/>
            </a:ext>
          </a:extLst>
        </xdr:cNvPr>
        <xdr:cNvCxnSpPr/>
      </xdr:nvCxnSpPr>
      <xdr:spPr>
        <a:xfrm flipV="1">
          <a:off x="27829933" y="6264487"/>
          <a:ext cx="0" cy="12725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0</xdr:colOff>
      <xdr:row>56</xdr:row>
      <xdr:rowOff>162560</xdr:rowOff>
    </xdr:from>
    <xdr:to>
      <xdr:col>31</xdr:col>
      <xdr:colOff>27214</xdr:colOff>
      <xdr:row>57</xdr:row>
      <xdr:rowOff>0</xdr:rowOff>
    </xdr:to>
    <xdr:cxnSp macro="">
      <xdr:nvCxnSpPr>
        <xdr:cNvPr id="11" name="Straight Arrow Connector 10">
          <a:extLst>
            <a:ext uri="{FF2B5EF4-FFF2-40B4-BE49-F238E27FC236}">
              <a16:creationId xmlns:a16="http://schemas.microsoft.com/office/drawing/2014/main" id="{F6A810ED-942B-9F35-42AA-B829A31F75B2}"/>
            </a:ext>
          </a:extLst>
        </xdr:cNvPr>
        <xdr:cNvCxnSpPr/>
      </xdr:nvCxnSpPr>
      <xdr:spPr>
        <a:xfrm>
          <a:off x="17580429" y="11891917"/>
          <a:ext cx="3306535" cy="143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31750</xdr:colOff>
      <xdr:row>57</xdr:row>
      <xdr:rowOff>0</xdr:rowOff>
    </xdr:from>
    <xdr:to>
      <xdr:col>28</xdr:col>
      <xdr:colOff>31750</xdr:colOff>
      <xdr:row>62</xdr:row>
      <xdr:rowOff>21167</xdr:rowOff>
    </xdr:to>
    <xdr:cxnSp macro="">
      <xdr:nvCxnSpPr>
        <xdr:cNvPr id="14" name="Straight Arrow Connector 13">
          <a:extLst>
            <a:ext uri="{FF2B5EF4-FFF2-40B4-BE49-F238E27FC236}">
              <a16:creationId xmlns:a16="http://schemas.microsoft.com/office/drawing/2014/main" id="{C82740D9-9088-E623-51A1-A861FEDDA622}"/>
            </a:ext>
          </a:extLst>
        </xdr:cNvPr>
        <xdr:cNvCxnSpPr/>
      </xdr:nvCxnSpPr>
      <xdr:spPr>
        <a:xfrm>
          <a:off x="18954750" y="11990917"/>
          <a:ext cx="0" cy="920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44632</xdr:colOff>
      <xdr:row>59</xdr:row>
      <xdr:rowOff>1905</xdr:rowOff>
    </xdr:from>
    <xdr:to>
      <xdr:col>41</xdr:col>
      <xdr:colOff>44632</xdr:colOff>
      <xdr:row>59</xdr:row>
      <xdr:rowOff>1905</xdr:rowOff>
    </xdr:to>
    <xdr:cxnSp macro="">
      <xdr:nvCxnSpPr>
        <xdr:cNvPr id="25" name="Straight Arrow Connector 24">
          <a:extLst>
            <a:ext uri="{FF2B5EF4-FFF2-40B4-BE49-F238E27FC236}">
              <a16:creationId xmlns:a16="http://schemas.microsoft.com/office/drawing/2014/main" id="{CF5B7A5A-0369-832A-99F6-FA1EDE94C1AD}"/>
            </a:ext>
          </a:extLst>
        </xdr:cNvPr>
        <xdr:cNvCxnSpPr/>
      </xdr:nvCxnSpPr>
      <xdr:spPr>
        <a:xfrm>
          <a:off x="24483061" y="12261941"/>
          <a:ext cx="3061607"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3810</xdr:colOff>
      <xdr:row>59</xdr:row>
      <xdr:rowOff>1905</xdr:rowOff>
    </xdr:from>
    <xdr:to>
      <xdr:col>40</xdr:col>
      <xdr:colOff>598715</xdr:colOff>
      <xdr:row>67</xdr:row>
      <xdr:rowOff>87357</xdr:rowOff>
    </xdr:to>
    <xdr:cxnSp macro="">
      <xdr:nvCxnSpPr>
        <xdr:cNvPr id="29" name="Connector: Elbow 28">
          <a:extLst>
            <a:ext uri="{FF2B5EF4-FFF2-40B4-BE49-F238E27FC236}">
              <a16:creationId xmlns:a16="http://schemas.microsoft.com/office/drawing/2014/main" id="{81F910E0-06F6-57F6-F8C2-0DAD580A898F}"/>
            </a:ext>
          </a:extLst>
        </xdr:cNvPr>
        <xdr:cNvCxnSpPr/>
      </xdr:nvCxnSpPr>
      <xdr:spPr>
        <a:xfrm>
          <a:off x="24442239" y="12261941"/>
          <a:ext cx="3044190" cy="150059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27214</xdr:colOff>
      <xdr:row>63</xdr:row>
      <xdr:rowOff>27214</xdr:rowOff>
    </xdr:from>
    <xdr:to>
      <xdr:col>43</xdr:col>
      <xdr:colOff>27214</xdr:colOff>
      <xdr:row>65</xdr:row>
      <xdr:rowOff>0</xdr:rowOff>
    </xdr:to>
    <xdr:cxnSp macro="">
      <xdr:nvCxnSpPr>
        <xdr:cNvPr id="32" name="Straight Arrow Connector 31">
          <a:extLst>
            <a:ext uri="{FF2B5EF4-FFF2-40B4-BE49-F238E27FC236}">
              <a16:creationId xmlns:a16="http://schemas.microsoft.com/office/drawing/2014/main" id="{05FD878E-AFEA-6B08-69BD-9C2617962F2A}"/>
            </a:ext>
          </a:extLst>
        </xdr:cNvPr>
        <xdr:cNvCxnSpPr/>
      </xdr:nvCxnSpPr>
      <xdr:spPr>
        <a:xfrm>
          <a:off x="28751893" y="12994821"/>
          <a:ext cx="0" cy="32657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769891</xdr:colOff>
      <xdr:row>67</xdr:row>
      <xdr:rowOff>71844</xdr:rowOff>
    </xdr:from>
    <xdr:to>
      <xdr:col>46</xdr:col>
      <xdr:colOff>960119</xdr:colOff>
      <xdr:row>67</xdr:row>
      <xdr:rowOff>81641</xdr:rowOff>
    </xdr:to>
    <xdr:cxnSp macro="">
      <xdr:nvCxnSpPr>
        <xdr:cNvPr id="34" name="Straight Arrow Connector 33">
          <a:extLst>
            <a:ext uri="{FF2B5EF4-FFF2-40B4-BE49-F238E27FC236}">
              <a16:creationId xmlns:a16="http://schemas.microsoft.com/office/drawing/2014/main" id="{1026ADB6-2F4C-B984-8D0D-39D2CB6CF5D2}"/>
            </a:ext>
          </a:extLst>
        </xdr:cNvPr>
        <xdr:cNvCxnSpPr/>
      </xdr:nvCxnSpPr>
      <xdr:spPr>
        <a:xfrm flipV="1">
          <a:off x="30106891" y="13747023"/>
          <a:ext cx="1578157" cy="979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13607</xdr:colOff>
      <xdr:row>67</xdr:row>
      <xdr:rowOff>149678</xdr:rowOff>
    </xdr:from>
    <xdr:to>
      <xdr:col>55</xdr:col>
      <xdr:colOff>585107</xdr:colOff>
      <xdr:row>67</xdr:row>
      <xdr:rowOff>149678</xdr:rowOff>
    </xdr:to>
    <xdr:cxnSp macro="">
      <xdr:nvCxnSpPr>
        <xdr:cNvPr id="36" name="Straight Arrow Connector 35">
          <a:extLst>
            <a:ext uri="{FF2B5EF4-FFF2-40B4-BE49-F238E27FC236}">
              <a16:creationId xmlns:a16="http://schemas.microsoft.com/office/drawing/2014/main" id="{ECB9C9F5-ED3F-9654-91E1-622FCB6AE847}"/>
            </a:ext>
          </a:extLst>
        </xdr:cNvPr>
        <xdr:cNvCxnSpPr/>
      </xdr:nvCxnSpPr>
      <xdr:spPr>
        <a:xfrm>
          <a:off x="33541607" y="13824857"/>
          <a:ext cx="3728357"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39</xdr:row>
      <xdr:rowOff>0</xdr:rowOff>
    </xdr:from>
    <xdr:to>
      <xdr:col>18</xdr:col>
      <xdr:colOff>0</xdr:colOff>
      <xdr:row>39</xdr:row>
      <xdr:rowOff>326571</xdr:rowOff>
    </xdr:to>
    <xdr:cxnSp macro="">
      <xdr:nvCxnSpPr>
        <xdr:cNvPr id="38" name="Straight Arrow Connector 37">
          <a:extLst>
            <a:ext uri="{FF2B5EF4-FFF2-40B4-BE49-F238E27FC236}">
              <a16:creationId xmlns:a16="http://schemas.microsoft.com/office/drawing/2014/main" id="{0CAB115B-CEDA-7273-528B-8C9DB37B9599}"/>
            </a:ext>
          </a:extLst>
        </xdr:cNvPr>
        <xdr:cNvCxnSpPr/>
      </xdr:nvCxnSpPr>
      <xdr:spPr>
        <a:xfrm>
          <a:off x="12681857" y="7769679"/>
          <a:ext cx="0" cy="32657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0</xdr:colOff>
      <xdr:row>20</xdr:row>
      <xdr:rowOff>0</xdr:rowOff>
    </xdr:from>
    <xdr:to>
      <xdr:col>25</xdr:col>
      <xdr:colOff>0</xdr:colOff>
      <xdr:row>33</xdr:row>
      <xdr:rowOff>0</xdr:rowOff>
    </xdr:to>
    <xdr:cxnSp macro="">
      <xdr:nvCxnSpPr>
        <xdr:cNvPr id="40" name="Straight Arrow Connector 39">
          <a:extLst>
            <a:ext uri="{FF2B5EF4-FFF2-40B4-BE49-F238E27FC236}">
              <a16:creationId xmlns:a16="http://schemas.microsoft.com/office/drawing/2014/main" id="{082A0098-C144-025B-741B-00B1001FC132}"/>
            </a:ext>
          </a:extLst>
        </xdr:cNvPr>
        <xdr:cNvCxnSpPr/>
      </xdr:nvCxnSpPr>
      <xdr:spPr>
        <a:xfrm>
          <a:off x="16968107" y="4136571"/>
          <a:ext cx="0" cy="25445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13607</xdr:colOff>
      <xdr:row>36</xdr:row>
      <xdr:rowOff>13607</xdr:rowOff>
    </xdr:from>
    <xdr:to>
      <xdr:col>16</xdr:col>
      <xdr:colOff>13607</xdr:colOff>
      <xdr:row>36</xdr:row>
      <xdr:rowOff>13607</xdr:rowOff>
    </xdr:to>
    <xdr:cxnSp macro="">
      <xdr:nvCxnSpPr>
        <xdr:cNvPr id="42" name="Straight Arrow Connector 41">
          <a:extLst>
            <a:ext uri="{FF2B5EF4-FFF2-40B4-BE49-F238E27FC236}">
              <a16:creationId xmlns:a16="http://schemas.microsoft.com/office/drawing/2014/main" id="{56EB6978-064B-C6B0-C3ED-23467A10F144}"/>
            </a:ext>
          </a:extLst>
        </xdr:cNvPr>
        <xdr:cNvCxnSpPr/>
      </xdr:nvCxnSpPr>
      <xdr:spPr>
        <a:xfrm>
          <a:off x="10858500" y="7225393"/>
          <a:ext cx="612321"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27214</xdr:colOff>
      <xdr:row>17</xdr:row>
      <xdr:rowOff>0</xdr:rowOff>
    </xdr:from>
    <xdr:to>
      <xdr:col>16</xdr:col>
      <xdr:colOff>13607</xdr:colOff>
      <xdr:row>17</xdr:row>
      <xdr:rowOff>0</xdr:rowOff>
    </xdr:to>
    <xdr:cxnSp macro="">
      <xdr:nvCxnSpPr>
        <xdr:cNvPr id="44" name="Straight Arrow Connector 43">
          <a:extLst>
            <a:ext uri="{FF2B5EF4-FFF2-40B4-BE49-F238E27FC236}">
              <a16:creationId xmlns:a16="http://schemas.microsoft.com/office/drawing/2014/main" id="{1600B9F6-B61C-13ED-14E9-1AA1BF9CA1FA}"/>
            </a:ext>
          </a:extLst>
        </xdr:cNvPr>
        <xdr:cNvCxnSpPr/>
      </xdr:nvCxnSpPr>
      <xdr:spPr>
        <a:xfrm>
          <a:off x="10872107" y="3605893"/>
          <a:ext cx="598714"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13608</xdr:colOff>
      <xdr:row>16</xdr:row>
      <xdr:rowOff>163286</xdr:rowOff>
    </xdr:from>
    <xdr:to>
      <xdr:col>22</xdr:col>
      <xdr:colOff>13607</xdr:colOff>
      <xdr:row>17</xdr:row>
      <xdr:rowOff>0</xdr:rowOff>
    </xdr:to>
    <xdr:cxnSp macro="">
      <xdr:nvCxnSpPr>
        <xdr:cNvPr id="46" name="Straight Arrow Connector 45">
          <a:extLst>
            <a:ext uri="{FF2B5EF4-FFF2-40B4-BE49-F238E27FC236}">
              <a16:creationId xmlns:a16="http://schemas.microsoft.com/office/drawing/2014/main" id="{DCA457EF-FF67-290D-ECBB-3A72AF532EEA}"/>
            </a:ext>
          </a:extLst>
        </xdr:cNvPr>
        <xdr:cNvCxnSpPr/>
      </xdr:nvCxnSpPr>
      <xdr:spPr>
        <a:xfrm>
          <a:off x="14532429" y="3592286"/>
          <a:ext cx="612321" cy="1360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13607</xdr:colOff>
      <xdr:row>17</xdr:row>
      <xdr:rowOff>40821</xdr:rowOff>
    </xdr:from>
    <xdr:to>
      <xdr:col>10</xdr:col>
      <xdr:colOff>0</xdr:colOff>
      <xdr:row>17</xdr:row>
      <xdr:rowOff>40821</xdr:rowOff>
    </xdr:to>
    <xdr:cxnSp macro="">
      <xdr:nvCxnSpPr>
        <xdr:cNvPr id="48" name="Straight Arrow Connector 47">
          <a:extLst>
            <a:ext uri="{FF2B5EF4-FFF2-40B4-BE49-F238E27FC236}">
              <a16:creationId xmlns:a16="http://schemas.microsoft.com/office/drawing/2014/main" id="{590B4B20-294E-D4E8-31A3-42DD8A7AF182}"/>
            </a:ext>
          </a:extLst>
        </xdr:cNvPr>
        <xdr:cNvCxnSpPr/>
      </xdr:nvCxnSpPr>
      <xdr:spPr>
        <a:xfrm>
          <a:off x="5170714" y="3646714"/>
          <a:ext cx="25717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13607</xdr:colOff>
      <xdr:row>37</xdr:row>
      <xdr:rowOff>108857</xdr:rowOff>
    </xdr:from>
    <xdr:to>
      <xdr:col>10</xdr:col>
      <xdr:colOff>0</xdr:colOff>
      <xdr:row>37</xdr:row>
      <xdr:rowOff>122464</xdr:rowOff>
    </xdr:to>
    <xdr:cxnSp macro="">
      <xdr:nvCxnSpPr>
        <xdr:cNvPr id="50" name="Straight Arrow Connector 49">
          <a:extLst>
            <a:ext uri="{FF2B5EF4-FFF2-40B4-BE49-F238E27FC236}">
              <a16:creationId xmlns:a16="http://schemas.microsoft.com/office/drawing/2014/main" id="{C4F714D8-D9DE-5377-1FD4-BACB2E7EFD3B}"/>
            </a:ext>
          </a:extLst>
        </xdr:cNvPr>
        <xdr:cNvCxnSpPr/>
      </xdr:nvCxnSpPr>
      <xdr:spPr>
        <a:xfrm flipV="1">
          <a:off x="5170714" y="7511143"/>
          <a:ext cx="2571750" cy="1360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28</xdr:col>
      <xdr:colOff>0</xdr:colOff>
      <xdr:row>34</xdr:row>
      <xdr:rowOff>177800</xdr:rowOff>
    </xdr:from>
    <xdr:to>
      <xdr:col>34</xdr:col>
      <xdr:colOff>25400</xdr:colOff>
      <xdr:row>34</xdr:row>
      <xdr:rowOff>177800</xdr:rowOff>
    </xdr:to>
    <xdr:cxnSp macro="">
      <xdr:nvCxnSpPr>
        <xdr:cNvPr id="3" name="Straight Arrow Connector 2">
          <a:extLst>
            <a:ext uri="{FF2B5EF4-FFF2-40B4-BE49-F238E27FC236}">
              <a16:creationId xmlns:a16="http://schemas.microsoft.com/office/drawing/2014/main" id="{256DF146-3579-4843-7054-315D243C76BD}"/>
            </a:ext>
          </a:extLst>
        </xdr:cNvPr>
        <xdr:cNvCxnSpPr/>
      </xdr:nvCxnSpPr>
      <xdr:spPr>
        <a:xfrm>
          <a:off x="16289867" y="7264400"/>
          <a:ext cx="3674533"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598714</xdr:colOff>
      <xdr:row>35</xdr:row>
      <xdr:rowOff>0</xdr:rowOff>
    </xdr:from>
    <xdr:to>
      <xdr:col>31</xdr:col>
      <xdr:colOff>0</xdr:colOff>
      <xdr:row>41</xdr:row>
      <xdr:rowOff>10885</xdr:rowOff>
    </xdr:to>
    <xdr:cxnSp macro="">
      <xdr:nvCxnSpPr>
        <xdr:cNvPr id="5" name="Straight Arrow Connector 4">
          <a:extLst>
            <a:ext uri="{FF2B5EF4-FFF2-40B4-BE49-F238E27FC236}">
              <a16:creationId xmlns:a16="http://schemas.microsoft.com/office/drawing/2014/main" id="{B948E827-39B8-4BBA-BDAD-22695AECBD85}"/>
            </a:ext>
          </a:extLst>
        </xdr:cNvPr>
        <xdr:cNvCxnSpPr/>
      </xdr:nvCxnSpPr>
      <xdr:spPr>
        <a:xfrm flipH="1">
          <a:off x="20182114" y="7271657"/>
          <a:ext cx="10886" cy="151311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8467</xdr:colOff>
      <xdr:row>28</xdr:row>
      <xdr:rowOff>93133</xdr:rowOff>
    </xdr:from>
    <xdr:to>
      <xdr:col>32</xdr:col>
      <xdr:colOff>25400</xdr:colOff>
      <xdr:row>28</xdr:row>
      <xdr:rowOff>101600</xdr:rowOff>
    </xdr:to>
    <xdr:cxnSp macro="">
      <xdr:nvCxnSpPr>
        <xdr:cNvPr id="8" name="Straight Arrow Connector 7">
          <a:extLst>
            <a:ext uri="{FF2B5EF4-FFF2-40B4-BE49-F238E27FC236}">
              <a16:creationId xmlns:a16="http://schemas.microsoft.com/office/drawing/2014/main" id="{CA6242A0-E492-16DB-4F83-C472D8BAE580}"/>
            </a:ext>
          </a:extLst>
        </xdr:cNvPr>
        <xdr:cNvCxnSpPr/>
      </xdr:nvCxnSpPr>
      <xdr:spPr>
        <a:xfrm>
          <a:off x="19337867" y="6062133"/>
          <a:ext cx="626533" cy="8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0</xdr:colOff>
      <xdr:row>37</xdr:row>
      <xdr:rowOff>0</xdr:rowOff>
    </xdr:from>
    <xdr:to>
      <xdr:col>46</xdr:col>
      <xdr:colOff>16933</xdr:colOff>
      <xdr:row>37</xdr:row>
      <xdr:rowOff>8467</xdr:rowOff>
    </xdr:to>
    <xdr:cxnSp macro="">
      <xdr:nvCxnSpPr>
        <xdr:cNvPr id="12" name="Straight Arrow Connector 11">
          <a:extLst>
            <a:ext uri="{FF2B5EF4-FFF2-40B4-BE49-F238E27FC236}">
              <a16:creationId xmlns:a16="http://schemas.microsoft.com/office/drawing/2014/main" id="{79A84621-7772-7B07-A0F5-2862CCA4989B}"/>
            </a:ext>
          </a:extLst>
        </xdr:cNvPr>
        <xdr:cNvCxnSpPr/>
      </xdr:nvCxnSpPr>
      <xdr:spPr>
        <a:xfrm flipV="1">
          <a:off x="23782867" y="7645400"/>
          <a:ext cx="4284133" cy="8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217713</xdr:colOff>
      <xdr:row>33</xdr:row>
      <xdr:rowOff>21772</xdr:rowOff>
    </xdr:from>
    <xdr:to>
      <xdr:col>50</xdr:col>
      <xdr:colOff>576942</xdr:colOff>
      <xdr:row>36</xdr:row>
      <xdr:rowOff>1</xdr:rowOff>
    </xdr:to>
    <xdr:cxnSp macro="">
      <xdr:nvCxnSpPr>
        <xdr:cNvPr id="17" name="Connector: Elbow 16">
          <a:extLst>
            <a:ext uri="{FF2B5EF4-FFF2-40B4-BE49-F238E27FC236}">
              <a16:creationId xmlns:a16="http://schemas.microsoft.com/office/drawing/2014/main" id="{001CBCC5-DC7C-FD66-CAB5-D541F45B5FFC}"/>
            </a:ext>
          </a:extLst>
        </xdr:cNvPr>
        <xdr:cNvCxnSpPr/>
      </xdr:nvCxnSpPr>
      <xdr:spPr>
        <a:xfrm rot="5400000" flipH="1" flipV="1">
          <a:off x="32967385" y="7015843"/>
          <a:ext cx="544286" cy="359229"/>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381000</xdr:colOff>
      <xdr:row>29</xdr:row>
      <xdr:rowOff>169333</xdr:rowOff>
    </xdr:from>
    <xdr:to>
      <xdr:col>49</xdr:col>
      <xdr:colOff>8466</xdr:colOff>
      <xdr:row>30</xdr:row>
      <xdr:rowOff>25400</xdr:rowOff>
    </xdr:to>
    <xdr:cxnSp macro="">
      <xdr:nvCxnSpPr>
        <xdr:cNvPr id="21" name="Connector: Elbow 20">
          <a:extLst>
            <a:ext uri="{FF2B5EF4-FFF2-40B4-BE49-F238E27FC236}">
              <a16:creationId xmlns:a16="http://schemas.microsoft.com/office/drawing/2014/main" id="{7D50BB9F-76BF-4776-5645-F4A5D57BBCC2}"/>
            </a:ext>
          </a:extLst>
        </xdr:cNvPr>
        <xdr:cNvCxnSpPr/>
      </xdr:nvCxnSpPr>
      <xdr:spPr>
        <a:xfrm flipV="1">
          <a:off x="26602267" y="6324600"/>
          <a:ext cx="5037666" cy="42333"/>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0</xdr:colOff>
      <xdr:row>31</xdr:row>
      <xdr:rowOff>0</xdr:rowOff>
    </xdr:from>
    <xdr:to>
      <xdr:col>62</xdr:col>
      <xdr:colOff>16933</xdr:colOff>
      <xdr:row>31</xdr:row>
      <xdr:rowOff>8467</xdr:rowOff>
    </xdr:to>
    <xdr:cxnSp macro="">
      <xdr:nvCxnSpPr>
        <xdr:cNvPr id="28" name="Straight Arrow Connector 27">
          <a:extLst>
            <a:ext uri="{FF2B5EF4-FFF2-40B4-BE49-F238E27FC236}">
              <a16:creationId xmlns:a16="http://schemas.microsoft.com/office/drawing/2014/main" id="{68EDC3CF-DE95-F1F1-CF49-E49B08F89421}"/>
            </a:ext>
          </a:extLst>
        </xdr:cNvPr>
        <xdr:cNvCxnSpPr/>
      </xdr:nvCxnSpPr>
      <xdr:spPr>
        <a:xfrm>
          <a:off x="37219467" y="6527800"/>
          <a:ext cx="1845733" cy="8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397933</xdr:colOff>
      <xdr:row>30</xdr:row>
      <xdr:rowOff>8467</xdr:rowOff>
    </xdr:from>
    <xdr:to>
      <xdr:col>41</xdr:col>
      <xdr:colOff>397933</xdr:colOff>
      <xdr:row>36</xdr:row>
      <xdr:rowOff>160867</xdr:rowOff>
    </xdr:to>
    <xdr:cxnSp macro="">
      <xdr:nvCxnSpPr>
        <xdr:cNvPr id="32" name="Straight Arrow Connector 31">
          <a:extLst>
            <a:ext uri="{FF2B5EF4-FFF2-40B4-BE49-F238E27FC236}">
              <a16:creationId xmlns:a16="http://schemas.microsoft.com/office/drawing/2014/main" id="{257AD6EE-1056-CD5C-4B65-8F12C15991CD}"/>
            </a:ext>
          </a:extLst>
        </xdr:cNvPr>
        <xdr:cNvCxnSpPr/>
      </xdr:nvCxnSpPr>
      <xdr:spPr>
        <a:xfrm flipV="1">
          <a:off x="26619200" y="6350000"/>
          <a:ext cx="0" cy="1270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4FA6C-060A-45FC-87CD-D253B51F872B}">
  <dimension ref="A1:AC117"/>
  <sheetViews>
    <sheetView topLeftCell="A100" workbookViewId="0">
      <selection activeCell="N24" sqref="N24:N31"/>
    </sheetView>
  </sheetViews>
  <sheetFormatPr defaultRowHeight="14.4" x14ac:dyDescent="0.3"/>
  <cols>
    <col min="2" max="2" width="10" customWidth="1"/>
    <col min="4" max="4" width="12" bestFit="1" customWidth="1"/>
    <col min="25" max="25" width="14.109375" customWidth="1"/>
  </cols>
  <sheetData>
    <row r="1" spans="1:29" x14ac:dyDescent="0.3">
      <c r="A1" t="s">
        <v>39</v>
      </c>
    </row>
    <row r="2" spans="1:29" x14ac:dyDescent="0.3">
      <c r="A2" t="s">
        <v>38</v>
      </c>
      <c r="B2">
        <v>0.88</v>
      </c>
      <c r="C2">
        <v>0.95</v>
      </c>
      <c r="D2">
        <v>0.85</v>
      </c>
      <c r="E2">
        <v>0.86</v>
      </c>
      <c r="P2">
        <v>0.9</v>
      </c>
      <c r="R2" t="s">
        <v>32</v>
      </c>
    </row>
    <row r="3" spans="1:29" x14ac:dyDescent="0.3">
      <c r="A3" t="s">
        <v>37</v>
      </c>
      <c r="X3" s="23"/>
      <c r="Y3" t="s">
        <v>139</v>
      </c>
    </row>
    <row r="4" spans="1:29" x14ac:dyDescent="0.3">
      <c r="X4" s="23"/>
      <c r="Z4" t="s">
        <v>137</v>
      </c>
      <c r="AA4" t="s">
        <v>138</v>
      </c>
      <c r="AC4" t="s">
        <v>140</v>
      </c>
    </row>
    <row r="5" spans="1:29" x14ac:dyDescent="0.3">
      <c r="A5" t="s">
        <v>36</v>
      </c>
      <c r="B5" t="s">
        <v>35</v>
      </c>
      <c r="C5" t="s">
        <v>34</v>
      </c>
      <c r="D5" t="s">
        <v>33</v>
      </c>
      <c r="R5" t="s">
        <v>136</v>
      </c>
      <c r="X5" s="23"/>
      <c r="Y5" t="s">
        <v>81</v>
      </c>
      <c r="Z5">
        <v>28.01</v>
      </c>
      <c r="AA5">
        <f>2000/Z5</f>
        <v>71.403070332024271</v>
      </c>
    </row>
    <row r="6" spans="1:29" x14ac:dyDescent="0.3">
      <c r="A6">
        <v>9</v>
      </c>
      <c r="B6">
        <f t="shared" ref="B6:B13" si="0">A6*((1-$B$2)^2)*$B$2^(A6-1)</f>
        <v>4.6608634414796631E-2</v>
      </c>
      <c r="C6">
        <f t="shared" ref="C6:C13" si="1">A6*((1-$C$2)^2)*$C$2^(A6-1)</f>
        <v>1.4926959704003933E-2</v>
      </c>
      <c r="D6">
        <f t="shared" ref="D6:D13" si="2">A6*((1-$D$2)^2)*$D$2^(A6-1)</f>
        <v>5.5179331320410155E-2</v>
      </c>
      <c r="E6">
        <f t="shared" ref="E6:E13" si="3">A6*((1-$E$2)^2)*$E$2^(A6-1)</f>
        <v>5.2782042341601686E-2</v>
      </c>
      <c r="P6">
        <f t="shared" ref="P6:P13" si="4">A6*((1-$P$2)^2)*$P$2^(A6-1)</f>
        <v>3.8742048899999992E-2</v>
      </c>
      <c r="R6">
        <f>(1-$D$2)*($D$2^(A6-1))</f>
        <v>4.0873578755859369E-2</v>
      </c>
      <c r="X6" s="23"/>
      <c r="Y6" t="s">
        <v>20</v>
      </c>
      <c r="Z6">
        <v>2.0099999999999998</v>
      </c>
      <c r="AA6">
        <f t="shared" ref="AA6:AA8" si="5">2000/Z6</f>
        <v>995.0248756218906</v>
      </c>
    </row>
    <row r="7" spans="1:29" x14ac:dyDescent="0.3">
      <c r="A7">
        <v>10</v>
      </c>
      <c r="B7">
        <f t="shared" si="0"/>
        <v>4.5572886983356709E-2</v>
      </c>
      <c r="C7">
        <f t="shared" si="1"/>
        <v>1.5756235243115261E-2</v>
      </c>
      <c r="D7">
        <f t="shared" si="2"/>
        <v>5.2113812913720699E-2</v>
      </c>
      <c r="E7">
        <f t="shared" si="3"/>
        <v>5.0436173793086049E-2</v>
      </c>
      <c r="P7">
        <f t="shared" si="4"/>
        <v>3.8742048899999992E-2</v>
      </c>
      <c r="R7">
        <f t="shared" ref="R7:R13" si="6">(1-$D$2)*($D$2^(A7-1))</f>
        <v>3.4742541942480464E-2</v>
      </c>
      <c r="X7" s="23"/>
      <c r="Y7" t="s">
        <v>132</v>
      </c>
      <c r="Z7" t="s">
        <v>11</v>
      </c>
      <c r="AA7" t="e">
        <f t="shared" si="5"/>
        <v>#VALUE!</v>
      </c>
    </row>
    <row r="8" spans="1:29" x14ac:dyDescent="0.3">
      <c r="A8">
        <v>11</v>
      </c>
      <c r="B8">
        <f t="shared" si="0"/>
        <v>4.4114554599889291E-2</v>
      </c>
      <c r="C8">
        <f t="shared" si="1"/>
        <v>1.6465265829055449E-2</v>
      </c>
      <c r="D8">
        <f t="shared" si="2"/>
        <v>4.8726415074328844E-2</v>
      </c>
      <c r="E8">
        <f t="shared" si="3"/>
        <v>4.7712620408259403E-2</v>
      </c>
      <c r="P8">
        <f t="shared" si="4"/>
        <v>3.8354628411E-2</v>
      </c>
      <c r="R8">
        <f t="shared" si="6"/>
        <v>2.953116065110839E-2</v>
      </c>
      <c r="X8" s="23"/>
      <c r="Y8" t="s">
        <v>79</v>
      </c>
      <c r="Z8">
        <v>18.010000000000002</v>
      </c>
      <c r="AA8">
        <f t="shared" si="5"/>
        <v>111.04941699056079</v>
      </c>
    </row>
    <row r="9" spans="1:29" x14ac:dyDescent="0.3">
      <c r="A9">
        <v>12</v>
      </c>
      <c r="B9">
        <f t="shared" si="0"/>
        <v>4.2349972415893722E-2</v>
      </c>
      <c r="C9">
        <f t="shared" si="1"/>
        <v>1.7064002768293826E-2</v>
      </c>
      <c r="D9">
        <f t="shared" si="2"/>
        <v>4.5182675796195837E-2</v>
      </c>
      <c r="E9">
        <f t="shared" si="3"/>
        <v>4.4763112964839723E-2</v>
      </c>
      <c r="P9">
        <f t="shared" si="4"/>
        <v>3.76572715308E-2</v>
      </c>
      <c r="R9">
        <f t="shared" si="6"/>
        <v>2.5101486553442128E-2</v>
      </c>
      <c r="X9" s="23"/>
      <c r="Y9" t="s">
        <v>133</v>
      </c>
      <c r="Z9">
        <v>1</v>
      </c>
    </row>
    <row r="10" spans="1:29" x14ac:dyDescent="0.3">
      <c r="A10">
        <v>13</v>
      </c>
      <c r="B10">
        <f t="shared" si="0"/>
        <v>4.0373640369818685E-2</v>
      </c>
      <c r="C10">
        <f t="shared" si="1"/>
        <v>1.7561702849035729E-2</v>
      </c>
      <c r="D10">
        <f t="shared" si="2"/>
        <v>4.1605713962330336E-2</v>
      </c>
      <c r="E10">
        <f t="shared" si="3"/>
        <v>4.1704300245575678E-2</v>
      </c>
      <c r="P10">
        <f t="shared" si="4"/>
        <v>3.671583974253001E-2</v>
      </c>
      <c r="R10">
        <f t="shared" si="6"/>
        <v>2.1336263570425808E-2</v>
      </c>
      <c r="X10" s="23"/>
      <c r="Y10" t="s">
        <v>80</v>
      </c>
      <c r="Z10">
        <v>12.01</v>
      </c>
    </row>
    <row r="11" spans="1:29" x14ac:dyDescent="0.3">
      <c r="A11">
        <v>14</v>
      </c>
      <c r="B11">
        <f t="shared" si="0"/>
        <v>3.8261788412012783E-2</v>
      </c>
      <c r="C11">
        <f t="shared" si="1"/>
        <v>1.7966972914782706E-2</v>
      </c>
      <c r="D11">
        <f t="shared" si="2"/>
        <v>3.8085230473210073E-2</v>
      </c>
      <c r="E11">
        <f t="shared" si="3"/>
        <v>3.8624598073594696E-2</v>
      </c>
      <c r="P11">
        <f t="shared" si="4"/>
        <v>3.5586121596606006E-2</v>
      </c>
      <c r="R11">
        <f t="shared" si="6"/>
        <v>1.8135824034861938E-2</v>
      </c>
      <c r="X11" s="23"/>
      <c r="Y11" t="s">
        <v>141</v>
      </c>
      <c r="Z11">
        <f>(2*Z10)+(6*Z9)</f>
        <v>30.02</v>
      </c>
      <c r="AA11">
        <f>AA5/2</f>
        <v>35.701535166012135</v>
      </c>
    </row>
    <row r="12" spans="1:29" x14ac:dyDescent="0.3">
      <c r="A12">
        <v>15</v>
      </c>
      <c r="B12">
        <f t="shared" si="0"/>
        <v>3.6075400502754908E-2</v>
      </c>
      <c r="C12">
        <f t="shared" si="1"/>
        <v>1.82878117168324E-2</v>
      </c>
      <c r="D12">
        <f t="shared" si="2"/>
        <v>3.4684763466673457E-2</v>
      </c>
      <c r="E12">
        <f t="shared" si="3"/>
        <v>3.5589808224955111E-2</v>
      </c>
      <c r="P12">
        <f t="shared" si="4"/>
        <v>3.4315188682441503E-2</v>
      </c>
      <c r="R12">
        <f t="shared" si="6"/>
        <v>1.5415450429632646E-2</v>
      </c>
      <c r="X12" s="23"/>
      <c r="Y12" t="s">
        <v>145</v>
      </c>
    </row>
    <row r="13" spans="1:29" x14ac:dyDescent="0.3">
      <c r="A13">
        <v>16</v>
      </c>
      <c r="B13">
        <f t="shared" si="0"/>
        <v>3.3862775938585943E-2</v>
      </c>
      <c r="C13">
        <f t="shared" si="1"/>
        <v>1.8531649206390166E-2</v>
      </c>
      <c r="D13">
        <f t="shared" si="2"/>
        <v>3.1447518876450593E-2</v>
      </c>
      <c r="E13">
        <f t="shared" si="3"/>
        <v>3.2647717411692159E-2</v>
      </c>
      <c r="P13">
        <f t="shared" si="4"/>
        <v>3.2942581135143846E-2</v>
      </c>
      <c r="R13">
        <f t="shared" si="6"/>
        <v>1.3103132865187746E-2</v>
      </c>
      <c r="X13" s="23"/>
      <c r="Y13" t="s">
        <v>143</v>
      </c>
      <c r="Z13">
        <f>AA11*E16</f>
        <v>14.299209029420297</v>
      </c>
    </row>
    <row r="14" spans="1:29" x14ac:dyDescent="0.3">
      <c r="B14">
        <f>SUM(B6:B13)</f>
        <v>0.3272196536371087</v>
      </c>
      <c r="C14">
        <f>SUM(C6:C13)</f>
        <v>0.13656060023150945</v>
      </c>
      <c r="D14">
        <f>SUM(D6:D13)</f>
        <v>0.34702546188331995</v>
      </c>
      <c r="E14">
        <f>SUM(E6:E13)</f>
        <v>0.3442603734636045</v>
      </c>
      <c r="P14">
        <f>SUM(P6:P13)</f>
        <v>0.29305572889852138</v>
      </c>
      <c r="R14">
        <f>SUM(R6:R13)</f>
        <v>0.19823943880299852</v>
      </c>
      <c r="U14" s="2" t="s">
        <v>135</v>
      </c>
      <c r="X14" s="23"/>
      <c r="Y14" t="s">
        <v>142</v>
      </c>
      <c r="Z14">
        <f>AA11*E24</f>
        <v>12.389341730928951</v>
      </c>
    </row>
    <row r="15" spans="1:29" x14ac:dyDescent="0.3">
      <c r="D15" t="s">
        <v>146</v>
      </c>
      <c r="F15" t="s">
        <v>148</v>
      </c>
      <c r="H15" t="s">
        <v>147</v>
      </c>
      <c r="I15" t="s">
        <v>149</v>
      </c>
      <c r="J15" t="s">
        <v>154</v>
      </c>
      <c r="K15" t="s">
        <v>150</v>
      </c>
      <c r="L15" t="s">
        <v>151</v>
      </c>
      <c r="M15" t="s">
        <v>152</v>
      </c>
      <c r="N15" t="s">
        <v>153</v>
      </c>
      <c r="P15" s="2" t="s">
        <v>80</v>
      </c>
      <c r="Q15" s="2" t="s">
        <v>133</v>
      </c>
      <c r="R15" s="36" t="s">
        <v>81</v>
      </c>
      <c r="S15" s="37" t="s">
        <v>132</v>
      </c>
      <c r="U15" s="2" t="s">
        <v>81</v>
      </c>
      <c r="V15" s="2" t="s">
        <v>134</v>
      </c>
      <c r="X15" s="23"/>
      <c r="Y15" t="s">
        <v>144</v>
      </c>
      <c r="Z15">
        <f>AA11*E32</f>
        <v>9.0129344368024409</v>
      </c>
    </row>
    <row r="16" spans="1:29" x14ac:dyDescent="0.3">
      <c r="A16">
        <v>1</v>
      </c>
      <c r="D16">
        <f>A16*((1-$D$2)^2)*$D$2^(A16-1)</f>
        <v>2.2500000000000006E-2</v>
      </c>
      <c r="E16" s="81">
        <f>SUM(D16:D23)</f>
        <v>0.40052084491406253</v>
      </c>
      <c r="F16" s="9">
        <f>($D$2^(A16-1))*(1-$D$2)</f>
        <v>0.15000000000000002</v>
      </c>
      <c r="G16" s="81">
        <f>SUM(F16:F23)</f>
        <v>0.72750947496093754</v>
      </c>
      <c r="H16" s="9">
        <f>A16*F16</f>
        <v>0.15000000000000002</v>
      </c>
      <c r="I16" s="81">
        <f>SUM(H16:H23)</f>
        <v>2.6701389660937496</v>
      </c>
      <c r="J16" s="81">
        <f>I16/G16</f>
        <v>3.670246310176398</v>
      </c>
      <c r="K16" s="9">
        <f>SUM(H16:H115)</f>
        <v>6.6666573358147909</v>
      </c>
      <c r="L16" s="9">
        <f>((12*P16)+(2*P16)+2)*F16</f>
        <v>2.4000000000000004</v>
      </c>
      <c r="M16" s="9">
        <f>(12*K16)+(2*K16)+2</f>
        <v>95.333202701407075</v>
      </c>
      <c r="N16" s="81">
        <f>(1/M16)*SUM(L16:L23)</f>
        <v>0.4073813044640443</v>
      </c>
      <c r="O16" s="9">
        <f>(G16*J16/K16)</f>
        <v>0.40052140549494858</v>
      </c>
      <c r="P16">
        <v>1</v>
      </c>
      <c r="Q16">
        <f>(2*P16)+2</f>
        <v>4</v>
      </c>
      <c r="R16" s="22">
        <v>1</v>
      </c>
      <c r="S16" s="23">
        <f>$R$16/A16</f>
        <v>1</v>
      </c>
      <c r="U16">
        <v>2000</v>
      </c>
      <c r="V16" s="40">
        <f>$U$16/A16</f>
        <v>2000</v>
      </c>
      <c r="W16" s="76">
        <f>SUM(V16:V23)</f>
        <v>5435.7142857142844</v>
      </c>
      <c r="X16" s="23"/>
    </row>
    <row r="17" spans="1:24" x14ac:dyDescent="0.3">
      <c r="A17">
        <v>2</v>
      </c>
      <c r="D17">
        <f>A17*((1-$D$2)^2)*$D$2^(A17-1)</f>
        <v>3.8250000000000006E-2</v>
      </c>
      <c r="E17" s="81"/>
      <c r="F17" s="9">
        <f t="shared" ref="F17:F80" si="7">($D$2^(A17-1))*(1-$D$2)</f>
        <v>0.1275</v>
      </c>
      <c r="G17" s="81"/>
      <c r="H17" s="9">
        <f t="shared" ref="H17:H80" si="8">A17*F17</f>
        <v>0.255</v>
      </c>
      <c r="I17" s="81"/>
      <c r="J17" s="81"/>
      <c r="K17" s="9"/>
      <c r="L17" s="9">
        <f t="shared" ref="L17:L80" si="9">((12*P17)+(2*P17)+2)*F17</f>
        <v>3.8250000000000002</v>
      </c>
      <c r="M17" s="9"/>
      <c r="N17" s="81"/>
      <c r="O17" s="9">
        <f>G24*J24/K16</f>
        <v>0.34702594759047706</v>
      </c>
      <c r="P17">
        <v>2</v>
      </c>
      <c r="Q17">
        <f t="shared" ref="Q17:Q80" si="10">(2*P17)+2</f>
        <v>6</v>
      </c>
      <c r="R17" s="22"/>
      <c r="S17" s="23">
        <f t="shared" ref="S17:S80" si="11">$R$16/A17</f>
        <v>0.5</v>
      </c>
      <c r="V17" s="41">
        <f>$U$16/A17</f>
        <v>1000</v>
      </c>
      <c r="W17" s="77"/>
      <c r="X17" s="23"/>
    </row>
    <row r="18" spans="1:24" x14ac:dyDescent="0.3">
      <c r="A18">
        <v>3</v>
      </c>
      <c r="D18">
        <f t="shared" ref="D18:D79" si="12">A18*((1-$D$2)^2)*$D$2^(A18-1)</f>
        <v>4.8768750000000007E-2</v>
      </c>
      <c r="E18" s="81"/>
      <c r="F18" s="9">
        <f t="shared" si="7"/>
        <v>0.108375</v>
      </c>
      <c r="G18" s="81"/>
      <c r="H18" s="9">
        <f t="shared" si="8"/>
        <v>0.325125</v>
      </c>
      <c r="I18" s="81"/>
      <c r="J18" s="81"/>
      <c r="K18" s="9"/>
      <c r="L18" s="9">
        <f t="shared" si="9"/>
        <v>4.7684999999999995</v>
      </c>
      <c r="M18" s="9"/>
      <c r="N18" s="81"/>
      <c r="O18" s="9">
        <f>G32*J32/K16</f>
        <v>0.25245264691457447</v>
      </c>
      <c r="P18">
        <v>3</v>
      </c>
      <c r="Q18">
        <f t="shared" si="10"/>
        <v>8</v>
      </c>
      <c r="R18" s="22"/>
      <c r="S18" s="23">
        <f t="shared" si="11"/>
        <v>0.33333333333333331</v>
      </c>
      <c r="V18" s="41">
        <f t="shared" ref="V18:V80" si="13">$U$16/A18</f>
        <v>666.66666666666663</v>
      </c>
      <c r="W18" s="77"/>
      <c r="X18" s="23"/>
    </row>
    <row r="19" spans="1:24" x14ac:dyDescent="0.3">
      <c r="A19">
        <v>4</v>
      </c>
      <c r="D19">
        <f t="shared" si="12"/>
        <v>5.5271250000000008E-2</v>
      </c>
      <c r="E19" s="81"/>
      <c r="F19" s="9">
        <f t="shared" si="7"/>
        <v>9.2118749999999999E-2</v>
      </c>
      <c r="G19" s="81"/>
      <c r="H19" s="9">
        <f t="shared" si="8"/>
        <v>0.368475</v>
      </c>
      <c r="I19" s="81"/>
      <c r="J19" s="81"/>
      <c r="K19" s="9"/>
      <c r="L19" s="9">
        <f t="shared" si="9"/>
        <v>5.3428874999999998</v>
      </c>
      <c r="M19" s="9"/>
      <c r="N19" s="81"/>
      <c r="O19" s="9">
        <f>SUM(O16:O18)</f>
        <v>1</v>
      </c>
      <c r="P19">
        <v>4</v>
      </c>
      <c r="Q19">
        <f t="shared" si="10"/>
        <v>10</v>
      </c>
      <c r="R19" s="22"/>
      <c r="S19" s="23">
        <f>$R$16/A19</f>
        <v>0.25</v>
      </c>
      <c r="V19" s="41">
        <f t="shared" si="13"/>
        <v>500</v>
      </c>
      <c r="W19" s="77"/>
      <c r="X19" s="23"/>
    </row>
    <row r="20" spans="1:24" x14ac:dyDescent="0.3">
      <c r="A20">
        <v>5</v>
      </c>
      <c r="D20">
        <f t="shared" si="12"/>
        <v>5.8725703125000001E-2</v>
      </c>
      <c r="E20" s="81"/>
      <c r="F20" s="9">
        <f t="shared" si="7"/>
        <v>7.8300937500000001E-2</v>
      </c>
      <c r="G20" s="81"/>
      <c r="H20" s="9">
        <f t="shared" si="8"/>
        <v>0.3915046875</v>
      </c>
      <c r="I20" s="81"/>
      <c r="J20" s="81"/>
      <c r="K20" s="9"/>
      <c r="L20" s="9">
        <f t="shared" si="9"/>
        <v>5.6376675000000001</v>
      </c>
      <c r="M20" s="9"/>
      <c r="N20" s="81"/>
      <c r="O20" s="9"/>
      <c r="P20">
        <v>5</v>
      </c>
      <c r="Q20">
        <f t="shared" si="10"/>
        <v>12</v>
      </c>
      <c r="R20" s="22"/>
      <c r="S20" s="23">
        <f>$R$16/A20</f>
        <v>0.2</v>
      </c>
      <c r="V20" s="41">
        <f t="shared" si="13"/>
        <v>400</v>
      </c>
      <c r="W20" s="77"/>
      <c r="X20" s="23"/>
    </row>
    <row r="21" spans="1:24" x14ac:dyDescent="0.3">
      <c r="A21">
        <v>6</v>
      </c>
      <c r="D21">
        <f t="shared" si="12"/>
        <v>5.99002171875E-2</v>
      </c>
      <c r="E21" s="81"/>
      <c r="F21" s="9">
        <f t="shared" si="7"/>
        <v>6.655579687499999E-2</v>
      </c>
      <c r="G21" s="81"/>
      <c r="H21" s="9">
        <f t="shared" si="8"/>
        <v>0.39933478124999994</v>
      </c>
      <c r="I21" s="81"/>
      <c r="J21" s="81"/>
      <c r="K21" s="9"/>
      <c r="L21" s="9">
        <f t="shared" si="9"/>
        <v>5.723798531249999</v>
      </c>
      <c r="M21" s="9"/>
      <c r="N21" s="81"/>
      <c r="O21" s="9"/>
      <c r="P21">
        <v>6</v>
      </c>
      <c r="Q21">
        <f t="shared" si="10"/>
        <v>14</v>
      </c>
      <c r="R21" s="22"/>
      <c r="S21" s="23">
        <f t="shared" si="11"/>
        <v>0.16666666666666666</v>
      </c>
      <c r="V21" s="41">
        <f t="shared" si="13"/>
        <v>333.33333333333331</v>
      </c>
      <c r="W21" s="77"/>
      <c r="X21" s="23"/>
    </row>
    <row r="22" spans="1:24" x14ac:dyDescent="0.3">
      <c r="A22">
        <v>7</v>
      </c>
      <c r="D22">
        <f t="shared" si="12"/>
        <v>5.9401048710937494E-2</v>
      </c>
      <c r="E22" s="81"/>
      <c r="F22" s="9">
        <f t="shared" si="7"/>
        <v>5.6572427343749988E-2</v>
      </c>
      <c r="G22" s="81"/>
      <c r="H22" s="9">
        <f t="shared" si="8"/>
        <v>0.3960069914062499</v>
      </c>
      <c r="I22" s="81"/>
      <c r="J22" s="81"/>
      <c r="K22" s="9"/>
      <c r="L22" s="9">
        <f t="shared" si="9"/>
        <v>5.6572427343749991</v>
      </c>
      <c r="M22" s="9"/>
      <c r="N22" s="81"/>
      <c r="O22" s="9"/>
      <c r="P22">
        <v>7</v>
      </c>
      <c r="Q22">
        <f t="shared" si="10"/>
        <v>16</v>
      </c>
      <c r="R22" s="22"/>
      <c r="S22" s="23">
        <f t="shared" si="11"/>
        <v>0.14285714285714285</v>
      </c>
      <c r="V22" s="41">
        <f t="shared" si="13"/>
        <v>285.71428571428572</v>
      </c>
      <c r="W22" s="77"/>
      <c r="X22" s="23"/>
    </row>
    <row r="23" spans="1:24" x14ac:dyDescent="0.3">
      <c r="A23">
        <v>8</v>
      </c>
      <c r="D23">
        <f t="shared" si="12"/>
        <v>5.7703875890624992E-2</v>
      </c>
      <c r="E23" s="81"/>
      <c r="F23" s="9">
        <f t="shared" si="7"/>
        <v>4.8086563242187484E-2</v>
      </c>
      <c r="G23" s="81"/>
      <c r="H23" s="9">
        <f t="shared" si="8"/>
        <v>0.38469250593749987</v>
      </c>
      <c r="I23" s="81"/>
      <c r="J23" s="81"/>
      <c r="K23" s="9"/>
      <c r="L23" s="9">
        <f t="shared" si="9"/>
        <v>5.4818682096093729</v>
      </c>
      <c r="M23" s="9"/>
      <c r="N23" s="81"/>
      <c r="O23" s="9"/>
      <c r="P23">
        <v>8</v>
      </c>
      <c r="Q23">
        <f t="shared" si="10"/>
        <v>18</v>
      </c>
      <c r="R23" s="22"/>
      <c r="S23" s="23">
        <f t="shared" si="11"/>
        <v>0.125</v>
      </c>
      <c r="V23" s="42">
        <f t="shared" si="13"/>
        <v>250</v>
      </c>
      <c r="W23" s="78"/>
      <c r="X23" s="23"/>
    </row>
    <row r="24" spans="1:24" x14ac:dyDescent="0.3">
      <c r="A24">
        <v>9</v>
      </c>
      <c r="D24">
        <f t="shared" si="12"/>
        <v>5.5179331320410155E-2</v>
      </c>
      <c r="E24" s="81">
        <f>SUM(D24:D31)</f>
        <v>0.34702546188331995</v>
      </c>
      <c r="F24" s="9">
        <f t="shared" si="7"/>
        <v>4.0873578755859369E-2</v>
      </c>
      <c r="G24" s="81">
        <f>SUM(F24:F31)</f>
        <v>0.19823943880299852</v>
      </c>
      <c r="H24" s="9">
        <f t="shared" si="8"/>
        <v>0.36786220880273435</v>
      </c>
      <c r="I24" s="81">
        <f>SUM(H24:H31)</f>
        <v>2.3135030792221332</v>
      </c>
      <c r="J24" s="81">
        <f>I24/G24</f>
        <v>11.670246310176397</v>
      </c>
      <c r="K24" s="9"/>
      <c r="L24" s="9">
        <f t="shared" si="9"/>
        <v>5.2318180807499992</v>
      </c>
      <c r="M24" s="9"/>
      <c r="N24" s="81">
        <f>SUM(L24:M31)/M16</f>
        <v>0.34390454802408477</v>
      </c>
      <c r="O24" s="9"/>
      <c r="P24">
        <v>9</v>
      </c>
      <c r="Q24">
        <f t="shared" si="10"/>
        <v>20</v>
      </c>
      <c r="R24" s="22"/>
      <c r="S24" s="23">
        <f t="shared" si="11"/>
        <v>0.1111111111111111</v>
      </c>
      <c r="V24" s="40">
        <f t="shared" si="13"/>
        <v>222.22222222222223</v>
      </c>
      <c r="W24" s="76">
        <f>SUM(V24:V31)</f>
        <v>1325.7437007437006</v>
      </c>
      <c r="X24" s="23"/>
    </row>
    <row r="25" spans="1:24" x14ac:dyDescent="0.3">
      <c r="A25">
        <v>10</v>
      </c>
      <c r="D25">
        <f t="shared" si="12"/>
        <v>5.2113812913720699E-2</v>
      </c>
      <c r="E25" s="81"/>
      <c r="F25" s="9">
        <f t="shared" si="7"/>
        <v>3.4742541942480464E-2</v>
      </c>
      <c r="G25" s="81"/>
      <c r="H25" s="9">
        <f t="shared" si="8"/>
        <v>0.34742541942480465</v>
      </c>
      <c r="I25" s="81"/>
      <c r="J25" s="81"/>
      <c r="K25" s="9"/>
      <c r="L25" s="9">
        <f t="shared" si="9"/>
        <v>4.9334409558322259</v>
      </c>
      <c r="M25" s="9"/>
      <c r="N25" s="81"/>
      <c r="O25" s="9"/>
      <c r="P25">
        <v>10</v>
      </c>
      <c r="Q25">
        <f t="shared" si="10"/>
        <v>22</v>
      </c>
      <c r="R25" s="22"/>
      <c r="S25" s="23">
        <f t="shared" si="11"/>
        <v>0.1</v>
      </c>
      <c r="V25" s="41">
        <f t="shared" si="13"/>
        <v>200</v>
      </c>
      <c r="W25" s="77"/>
      <c r="X25" s="23"/>
    </row>
    <row r="26" spans="1:24" x14ac:dyDescent="0.3">
      <c r="A26">
        <v>11</v>
      </c>
      <c r="D26">
        <f t="shared" si="12"/>
        <v>4.8726415074328844E-2</v>
      </c>
      <c r="E26" s="81"/>
      <c r="F26" s="9">
        <f t="shared" si="7"/>
        <v>2.953116065110839E-2</v>
      </c>
      <c r="G26" s="81"/>
      <c r="H26" s="9">
        <f t="shared" si="8"/>
        <v>0.32484276716219229</v>
      </c>
      <c r="I26" s="81"/>
      <c r="J26" s="81"/>
      <c r="K26" s="9"/>
      <c r="L26" s="9">
        <f t="shared" si="9"/>
        <v>4.6068610615729089</v>
      </c>
      <c r="M26" s="9"/>
      <c r="N26" s="81"/>
      <c r="O26" s="9"/>
      <c r="P26">
        <v>11</v>
      </c>
      <c r="Q26">
        <f t="shared" si="10"/>
        <v>24</v>
      </c>
      <c r="R26" s="22"/>
      <c r="S26" s="23">
        <f t="shared" si="11"/>
        <v>9.0909090909090912E-2</v>
      </c>
      <c r="V26" s="41">
        <f t="shared" si="13"/>
        <v>181.81818181818181</v>
      </c>
      <c r="W26" s="77"/>
      <c r="X26" s="23"/>
    </row>
    <row r="27" spans="1:24" x14ac:dyDescent="0.3">
      <c r="A27">
        <v>12</v>
      </c>
      <c r="D27">
        <f t="shared" si="12"/>
        <v>4.5182675796195837E-2</v>
      </c>
      <c r="E27" s="81"/>
      <c r="F27" s="9">
        <f t="shared" si="7"/>
        <v>2.5101486553442128E-2</v>
      </c>
      <c r="G27" s="81"/>
      <c r="H27" s="9">
        <f t="shared" si="8"/>
        <v>0.30121783864130552</v>
      </c>
      <c r="I27" s="81"/>
      <c r="J27" s="81"/>
      <c r="K27" s="9"/>
      <c r="L27" s="9">
        <f t="shared" si="9"/>
        <v>4.2672527140851617</v>
      </c>
      <c r="M27" s="9"/>
      <c r="N27" s="81"/>
      <c r="O27" s="9"/>
      <c r="P27">
        <v>12</v>
      </c>
      <c r="Q27">
        <f t="shared" si="10"/>
        <v>26</v>
      </c>
      <c r="R27" s="22"/>
      <c r="S27" s="23">
        <f t="shared" si="11"/>
        <v>8.3333333333333329E-2</v>
      </c>
      <c r="V27" s="41">
        <f t="shared" si="13"/>
        <v>166.66666666666666</v>
      </c>
      <c r="W27" s="77"/>
      <c r="X27" s="23"/>
    </row>
    <row r="28" spans="1:24" x14ac:dyDescent="0.3">
      <c r="A28">
        <v>13</v>
      </c>
      <c r="D28">
        <f t="shared" si="12"/>
        <v>4.1605713962330336E-2</v>
      </c>
      <c r="E28" s="81"/>
      <c r="F28" s="9">
        <f t="shared" si="7"/>
        <v>2.1336263570425808E-2</v>
      </c>
      <c r="G28" s="81"/>
      <c r="H28" s="9">
        <f t="shared" si="8"/>
        <v>0.27737142641553553</v>
      </c>
      <c r="I28" s="81"/>
      <c r="J28" s="81"/>
      <c r="K28" s="9"/>
      <c r="L28" s="9">
        <f t="shared" si="9"/>
        <v>3.9258724969583487</v>
      </c>
      <c r="M28" s="9"/>
      <c r="N28" s="81"/>
      <c r="O28" s="9"/>
      <c r="P28">
        <v>13</v>
      </c>
      <c r="Q28">
        <f t="shared" si="10"/>
        <v>28</v>
      </c>
      <c r="R28" s="22"/>
      <c r="S28" s="23">
        <f t="shared" si="11"/>
        <v>7.6923076923076927E-2</v>
      </c>
      <c r="V28" s="41">
        <f t="shared" si="13"/>
        <v>153.84615384615384</v>
      </c>
      <c r="W28" s="77"/>
      <c r="X28" s="23"/>
    </row>
    <row r="29" spans="1:24" x14ac:dyDescent="0.3">
      <c r="A29">
        <v>14</v>
      </c>
      <c r="D29">
        <f t="shared" si="12"/>
        <v>3.8085230473210073E-2</v>
      </c>
      <c r="E29" s="81"/>
      <c r="F29" s="9">
        <f t="shared" si="7"/>
        <v>1.8135824034861938E-2</v>
      </c>
      <c r="G29" s="81"/>
      <c r="H29" s="9">
        <f t="shared" si="8"/>
        <v>0.25390153648806713</v>
      </c>
      <c r="I29" s="81"/>
      <c r="J29" s="81"/>
      <c r="K29" s="9"/>
      <c r="L29" s="9">
        <f t="shared" si="9"/>
        <v>3.5908931589026638</v>
      </c>
      <c r="M29" s="9"/>
      <c r="N29" s="81"/>
      <c r="O29" s="9"/>
      <c r="P29">
        <v>14</v>
      </c>
      <c r="Q29">
        <f t="shared" si="10"/>
        <v>30</v>
      </c>
      <c r="R29" s="22"/>
      <c r="S29" s="23">
        <f t="shared" si="11"/>
        <v>7.1428571428571425E-2</v>
      </c>
      <c r="V29" s="41">
        <f t="shared" si="13"/>
        <v>142.85714285714286</v>
      </c>
      <c r="W29" s="77"/>
      <c r="X29" s="23"/>
    </row>
    <row r="30" spans="1:24" x14ac:dyDescent="0.3">
      <c r="A30">
        <v>15</v>
      </c>
      <c r="D30">
        <f t="shared" si="12"/>
        <v>3.4684763466673457E-2</v>
      </c>
      <c r="E30" s="81"/>
      <c r="F30" s="9">
        <f t="shared" si="7"/>
        <v>1.5415450429632646E-2</v>
      </c>
      <c r="G30" s="81"/>
      <c r="H30" s="9">
        <f t="shared" si="8"/>
        <v>0.23123175644448968</v>
      </c>
      <c r="I30" s="81"/>
      <c r="J30" s="81"/>
      <c r="K30" s="9"/>
      <c r="L30" s="9">
        <f t="shared" si="9"/>
        <v>3.2680754910821208</v>
      </c>
      <c r="M30" s="9"/>
      <c r="N30" s="81"/>
      <c r="O30" s="9"/>
      <c r="P30">
        <v>15</v>
      </c>
      <c r="Q30">
        <f t="shared" si="10"/>
        <v>32</v>
      </c>
      <c r="R30" s="22"/>
      <c r="S30" s="23">
        <f t="shared" si="11"/>
        <v>6.6666666666666666E-2</v>
      </c>
      <c r="V30" s="41">
        <f t="shared" si="13"/>
        <v>133.33333333333334</v>
      </c>
      <c r="W30" s="77"/>
      <c r="X30" s="23"/>
    </row>
    <row r="31" spans="1:24" x14ac:dyDescent="0.3">
      <c r="A31">
        <v>16</v>
      </c>
      <c r="D31">
        <f t="shared" si="12"/>
        <v>3.1447518876450593E-2</v>
      </c>
      <c r="E31" s="81"/>
      <c r="F31" s="9">
        <f t="shared" si="7"/>
        <v>1.3103132865187746E-2</v>
      </c>
      <c r="G31" s="81"/>
      <c r="H31" s="9">
        <f t="shared" si="8"/>
        <v>0.20965012584300394</v>
      </c>
      <c r="I31" s="81"/>
      <c r="J31" s="81"/>
      <c r="K31" s="9"/>
      <c r="L31" s="9">
        <f t="shared" si="9"/>
        <v>2.9613080275324308</v>
      </c>
      <c r="M31" s="9"/>
      <c r="N31" s="81"/>
      <c r="O31" s="9"/>
      <c r="P31">
        <v>16</v>
      </c>
      <c r="Q31">
        <f t="shared" si="10"/>
        <v>34</v>
      </c>
      <c r="R31" s="22"/>
      <c r="S31" s="23">
        <f t="shared" si="11"/>
        <v>6.25E-2</v>
      </c>
      <c r="V31" s="42">
        <f t="shared" si="13"/>
        <v>125</v>
      </c>
      <c r="W31" s="78"/>
      <c r="X31" s="23"/>
    </row>
    <row r="32" spans="1:24" x14ac:dyDescent="0.3">
      <c r="A32">
        <v>17</v>
      </c>
      <c r="D32">
        <f t="shared" si="12"/>
        <v>2.8401040485294449E-2</v>
      </c>
      <c r="E32" s="80">
        <f>SUM(D32:D115)</f>
        <v>0.25245229357483639</v>
      </c>
      <c r="F32" s="9">
        <f t="shared" si="7"/>
        <v>1.1137662935409586E-2</v>
      </c>
      <c r="G32" s="80">
        <f>SUM(F32:F115)</f>
        <v>7.4250998759327544E-2</v>
      </c>
      <c r="H32" s="9">
        <f t="shared" si="8"/>
        <v>0.18934026990196295</v>
      </c>
      <c r="I32" s="80">
        <f>SUM(H32:H115)</f>
        <v>1.6830152904989093</v>
      </c>
      <c r="J32" s="80">
        <f>I32/G32</f>
        <v>22.666567704417389</v>
      </c>
      <c r="K32" s="43"/>
      <c r="L32" s="9">
        <f t="shared" si="9"/>
        <v>2.6730391044983008</v>
      </c>
      <c r="M32" s="9"/>
      <c r="N32" s="80">
        <f>SUM(L32:L115)/M16</f>
        <v>0.24871414567669189</v>
      </c>
      <c r="O32" s="43"/>
      <c r="P32">
        <v>17</v>
      </c>
      <c r="Q32">
        <f t="shared" si="10"/>
        <v>36</v>
      </c>
      <c r="R32" s="22"/>
      <c r="S32" s="23">
        <f t="shared" si="11"/>
        <v>5.8823529411764705E-2</v>
      </c>
      <c r="V32">
        <f t="shared" si="13"/>
        <v>117.64705882352941</v>
      </c>
      <c r="W32" s="79">
        <f>SUM(V32:V115)</f>
        <v>3613.2970488212554</v>
      </c>
      <c r="X32" s="23"/>
    </row>
    <row r="33" spans="1:24" x14ac:dyDescent="0.3">
      <c r="A33">
        <v>18</v>
      </c>
      <c r="D33">
        <f t="shared" si="12"/>
        <v>2.5560936436765005E-2</v>
      </c>
      <c r="E33" s="80"/>
      <c r="F33" s="9">
        <f t="shared" si="7"/>
        <v>9.4670134950981481E-3</v>
      </c>
      <c r="G33" s="80"/>
      <c r="H33" s="9">
        <f t="shared" si="8"/>
        <v>0.17040624291176668</v>
      </c>
      <c r="I33" s="80"/>
      <c r="J33" s="80"/>
      <c r="K33" s="43"/>
      <c r="L33" s="9">
        <f t="shared" si="9"/>
        <v>2.4046214277549298</v>
      </c>
      <c r="M33" s="9"/>
      <c r="N33" s="80"/>
      <c r="O33" s="43"/>
      <c r="P33">
        <v>18</v>
      </c>
      <c r="Q33">
        <f t="shared" si="10"/>
        <v>38</v>
      </c>
      <c r="R33" s="22"/>
      <c r="S33" s="23">
        <f t="shared" si="11"/>
        <v>5.5555555555555552E-2</v>
      </c>
      <c r="V33">
        <f t="shared" si="13"/>
        <v>111.11111111111111</v>
      </c>
      <c r="W33" s="80"/>
      <c r="X33" s="23"/>
    </row>
    <row r="34" spans="1:24" x14ac:dyDescent="0.3">
      <c r="A34">
        <v>19</v>
      </c>
      <c r="D34">
        <f t="shared" si="12"/>
        <v>2.2933840191875266E-2</v>
      </c>
      <c r="E34" s="80"/>
      <c r="F34" s="9">
        <f t="shared" si="7"/>
        <v>8.0469614708334261E-3</v>
      </c>
      <c r="G34" s="80"/>
      <c r="H34" s="9">
        <f t="shared" si="8"/>
        <v>0.1528922679458351</v>
      </c>
      <c r="I34" s="80"/>
      <c r="J34" s="80"/>
      <c r="K34" s="43"/>
      <c r="L34" s="9">
        <f t="shared" si="9"/>
        <v>2.1565856741833582</v>
      </c>
      <c r="M34" s="9"/>
      <c r="N34" s="80"/>
      <c r="O34" s="43"/>
      <c r="P34">
        <v>19</v>
      </c>
      <c r="Q34">
        <f t="shared" si="10"/>
        <v>40</v>
      </c>
      <c r="R34" s="22"/>
      <c r="S34" s="23">
        <f t="shared" si="11"/>
        <v>5.2631578947368418E-2</v>
      </c>
      <c r="V34">
        <f t="shared" si="13"/>
        <v>105.26315789473684</v>
      </c>
      <c r="W34" s="80"/>
      <c r="X34" s="23"/>
    </row>
    <row r="35" spans="1:24" x14ac:dyDescent="0.3">
      <c r="A35">
        <v>20</v>
      </c>
      <c r="D35">
        <f t="shared" si="12"/>
        <v>2.0519751750625238E-2</v>
      </c>
      <c r="E35" s="80"/>
      <c r="F35" s="9">
        <f t="shared" si="7"/>
        <v>6.8399172502084113E-3</v>
      </c>
      <c r="G35" s="80"/>
      <c r="H35" s="9">
        <f t="shared" si="8"/>
        <v>0.13679834500416824</v>
      </c>
      <c r="I35" s="80"/>
      <c r="J35" s="80"/>
      <c r="K35" s="43"/>
      <c r="L35" s="9">
        <f t="shared" si="9"/>
        <v>1.9288566645587719</v>
      </c>
      <c r="M35" s="9"/>
      <c r="N35" s="80"/>
      <c r="O35" s="43"/>
      <c r="P35">
        <v>20</v>
      </c>
      <c r="Q35">
        <f t="shared" si="10"/>
        <v>42</v>
      </c>
      <c r="R35" s="22"/>
      <c r="S35" s="23">
        <f t="shared" si="11"/>
        <v>0.05</v>
      </c>
      <c r="V35">
        <f t="shared" si="13"/>
        <v>100</v>
      </c>
      <c r="W35" s="80"/>
      <c r="X35" s="23"/>
    </row>
    <row r="36" spans="1:24" x14ac:dyDescent="0.3">
      <c r="A36">
        <v>21</v>
      </c>
      <c r="D36">
        <f t="shared" si="12"/>
        <v>1.8313878437433026E-2</v>
      </c>
      <c r="E36" s="80"/>
      <c r="F36" s="9">
        <f t="shared" si="7"/>
        <v>5.8139296626771499E-3</v>
      </c>
      <c r="G36" s="80"/>
      <c r="H36" s="9">
        <f t="shared" si="8"/>
        <v>0.12209252291622015</v>
      </c>
      <c r="I36" s="80"/>
      <c r="J36" s="80"/>
      <c r="K36" s="43"/>
      <c r="L36" s="9">
        <f t="shared" si="9"/>
        <v>1.7209231801524363</v>
      </c>
      <c r="M36" s="9"/>
      <c r="N36" s="80"/>
      <c r="O36" s="43"/>
      <c r="P36">
        <v>21</v>
      </c>
      <c r="Q36">
        <f t="shared" si="10"/>
        <v>44</v>
      </c>
      <c r="R36" s="22"/>
      <c r="S36" s="23">
        <f t="shared" si="11"/>
        <v>4.7619047619047616E-2</v>
      </c>
      <c r="V36">
        <f t="shared" si="13"/>
        <v>95.238095238095241</v>
      </c>
      <c r="W36" s="80"/>
      <c r="X36" s="23"/>
    </row>
    <row r="37" spans="1:24" x14ac:dyDescent="0.3">
      <c r="A37">
        <v>22</v>
      </c>
      <c r="D37">
        <f t="shared" si="12"/>
        <v>1.6308072703809406E-2</v>
      </c>
      <c r="E37" s="80"/>
      <c r="F37" s="9">
        <f t="shared" si="7"/>
        <v>4.9418402132755772E-3</v>
      </c>
      <c r="G37" s="80"/>
      <c r="H37" s="9">
        <f t="shared" si="8"/>
        <v>0.10872048469206269</v>
      </c>
      <c r="I37" s="80"/>
      <c r="J37" s="80"/>
      <c r="K37" s="43"/>
      <c r="L37" s="9">
        <f t="shared" si="9"/>
        <v>1.531970466115429</v>
      </c>
      <c r="M37" s="9"/>
      <c r="N37" s="80"/>
      <c r="O37" s="43"/>
      <c r="P37">
        <v>22</v>
      </c>
      <c r="Q37">
        <f t="shared" si="10"/>
        <v>46</v>
      </c>
      <c r="R37" s="22"/>
      <c r="S37" s="23">
        <f t="shared" si="11"/>
        <v>4.5454545454545456E-2</v>
      </c>
      <c r="V37">
        <f t="shared" si="13"/>
        <v>90.909090909090907</v>
      </c>
      <c r="W37" s="80"/>
      <c r="X37" s="23"/>
    </row>
    <row r="38" spans="1:24" x14ac:dyDescent="0.3">
      <c r="A38">
        <v>23</v>
      </c>
      <c r="D38">
        <f t="shared" si="12"/>
        <v>1.449194642543063E-2</v>
      </c>
      <c r="E38" s="80"/>
      <c r="F38" s="9">
        <f t="shared" si="7"/>
        <v>4.2005641812842397E-3</v>
      </c>
      <c r="G38" s="80"/>
      <c r="H38" s="9">
        <f t="shared" si="8"/>
        <v>9.6612976169537512E-2</v>
      </c>
      <c r="I38" s="80"/>
      <c r="J38" s="80"/>
      <c r="K38" s="43"/>
      <c r="L38" s="9">
        <f t="shared" si="9"/>
        <v>1.3609827947360937</v>
      </c>
      <c r="M38" s="9"/>
      <c r="N38" s="80"/>
      <c r="O38" s="43"/>
      <c r="P38">
        <v>23</v>
      </c>
      <c r="Q38">
        <f t="shared" si="10"/>
        <v>48</v>
      </c>
      <c r="R38" s="22"/>
      <c r="S38" s="23">
        <f t="shared" si="11"/>
        <v>4.3478260869565216E-2</v>
      </c>
      <c r="V38">
        <f t="shared" si="13"/>
        <v>86.956521739130437</v>
      </c>
      <c r="W38" s="80"/>
      <c r="X38" s="23"/>
    </row>
    <row r="39" spans="1:24" x14ac:dyDescent="0.3">
      <c r="A39">
        <v>24</v>
      </c>
      <c r="D39">
        <f t="shared" si="12"/>
        <v>1.2853726394729774E-2</v>
      </c>
      <c r="E39" s="80"/>
      <c r="F39" s="9">
        <f t="shared" si="7"/>
        <v>3.5704795540916034E-3</v>
      </c>
      <c r="G39" s="80"/>
      <c r="H39" s="9">
        <f t="shared" si="8"/>
        <v>8.5691509298198479E-2</v>
      </c>
      <c r="I39" s="80"/>
      <c r="J39" s="80"/>
      <c r="K39" s="43"/>
      <c r="L39" s="9">
        <f t="shared" si="9"/>
        <v>1.206822089282962</v>
      </c>
      <c r="M39" s="9"/>
      <c r="N39" s="80"/>
      <c r="O39" s="43"/>
      <c r="P39">
        <v>24</v>
      </c>
      <c r="Q39">
        <f t="shared" si="10"/>
        <v>50</v>
      </c>
      <c r="R39" s="22"/>
      <c r="S39" s="23">
        <f t="shared" si="11"/>
        <v>4.1666666666666664E-2</v>
      </c>
      <c r="V39">
        <f t="shared" si="13"/>
        <v>83.333333333333329</v>
      </c>
      <c r="W39" s="80"/>
      <c r="X39" s="23"/>
    </row>
    <row r="40" spans="1:24" x14ac:dyDescent="0.3">
      <c r="A40">
        <v>25</v>
      </c>
      <c r="D40">
        <f t="shared" si="12"/>
        <v>1.1380903578666987E-2</v>
      </c>
      <c r="E40" s="80"/>
      <c r="F40" s="9">
        <f t="shared" si="7"/>
        <v>3.0349076209778632E-3</v>
      </c>
      <c r="G40" s="80"/>
      <c r="H40" s="9">
        <f t="shared" si="8"/>
        <v>7.5872690524446576E-2</v>
      </c>
      <c r="I40" s="80"/>
      <c r="J40" s="80"/>
      <c r="K40" s="43"/>
      <c r="L40" s="9">
        <f t="shared" si="9"/>
        <v>1.0682874825842079</v>
      </c>
      <c r="M40" s="9"/>
      <c r="N40" s="80"/>
      <c r="O40" s="43"/>
      <c r="P40">
        <v>25</v>
      </c>
      <c r="Q40">
        <f t="shared" si="10"/>
        <v>52</v>
      </c>
      <c r="R40" s="22"/>
      <c r="S40" s="23">
        <f t="shared" si="11"/>
        <v>0.04</v>
      </c>
      <c r="V40">
        <f t="shared" si="13"/>
        <v>80</v>
      </c>
      <c r="W40" s="80"/>
      <c r="X40" s="23"/>
    </row>
    <row r="41" spans="1:24" x14ac:dyDescent="0.3">
      <c r="A41">
        <v>26</v>
      </c>
      <c r="D41">
        <f t="shared" si="12"/>
        <v>1.0060718763541619E-2</v>
      </c>
      <c r="E41" s="80"/>
      <c r="F41" s="9">
        <f t="shared" si="7"/>
        <v>2.5796714778311839E-3</v>
      </c>
      <c r="G41" s="80"/>
      <c r="H41" s="9">
        <f t="shared" si="8"/>
        <v>6.7071458423610786E-2</v>
      </c>
      <c r="I41" s="80"/>
      <c r="J41" s="80"/>
      <c r="K41" s="43"/>
      <c r="L41" s="9">
        <f t="shared" si="9"/>
        <v>0.94415976088621334</v>
      </c>
      <c r="M41" s="9"/>
      <c r="N41" s="80"/>
      <c r="O41" s="43"/>
      <c r="P41">
        <v>26</v>
      </c>
      <c r="Q41">
        <f t="shared" si="10"/>
        <v>54</v>
      </c>
      <c r="R41" s="22"/>
      <c r="S41" s="23">
        <f t="shared" si="11"/>
        <v>3.8461538461538464E-2</v>
      </c>
      <c r="V41">
        <f t="shared" si="13"/>
        <v>76.92307692307692</v>
      </c>
      <c r="W41" s="80"/>
      <c r="X41" s="23"/>
    </row>
    <row r="42" spans="1:24" x14ac:dyDescent="0.3">
      <c r="A42">
        <v>27</v>
      </c>
      <c r="D42">
        <f t="shared" si="12"/>
        <v>8.8805190624338497E-3</v>
      </c>
      <c r="E42" s="80"/>
      <c r="F42" s="9">
        <f t="shared" si="7"/>
        <v>2.1927207561565059E-3</v>
      </c>
      <c r="G42" s="80"/>
      <c r="H42" s="9">
        <f t="shared" si="8"/>
        <v>5.9203460416225658E-2</v>
      </c>
      <c r="I42" s="80"/>
      <c r="J42" s="80"/>
      <c r="K42" s="43"/>
      <c r="L42" s="9">
        <f t="shared" si="9"/>
        <v>0.83323388733947223</v>
      </c>
      <c r="M42" s="9"/>
      <c r="N42" s="80"/>
      <c r="O42" s="43"/>
      <c r="P42">
        <v>27</v>
      </c>
      <c r="Q42">
        <f t="shared" si="10"/>
        <v>56</v>
      </c>
      <c r="R42" s="22"/>
      <c r="S42" s="23">
        <f t="shared" si="11"/>
        <v>3.7037037037037035E-2</v>
      </c>
      <c r="V42">
        <f t="shared" si="13"/>
        <v>74.074074074074076</v>
      </c>
      <c r="W42" s="80"/>
      <c r="X42" s="23"/>
    </row>
    <row r="43" spans="1:24" x14ac:dyDescent="0.3">
      <c r="A43">
        <v>28</v>
      </c>
      <c r="D43">
        <f t="shared" si="12"/>
        <v>7.8280130994787256E-3</v>
      </c>
      <c r="E43" s="80"/>
      <c r="F43" s="9">
        <f t="shared" si="7"/>
        <v>1.8638126427330301E-3</v>
      </c>
      <c r="G43" s="80"/>
      <c r="H43" s="9">
        <f t="shared" si="8"/>
        <v>5.2186753996524844E-2</v>
      </c>
      <c r="I43" s="80"/>
      <c r="J43" s="80"/>
      <c r="K43" s="43"/>
      <c r="L43" s="9">
        <f t="shared" si="9"/>
        <v>0.73434218123681383</v>
      </c>
      <c r="M43" s="9"/>
      <c r="N43" s="80"/>
      <c r="O43" s="43"/>
      <c r="P43">
        <v>28</v>
      </c>
      <c r="Q43">
        <f t="shared" si="10"/>
        <v>58</v>
      </c>
      <c r="R43" s="22"/>
      <c r="S43" s="23">
        <f t="shared" si="11"/>
        <v>3.5714285714285712E-2</v>
      </c>
      <c r="V43">
        <f t="shared" si="13"/>
        <v>71.428571428571431</v>
      </c>
      <c r="W43" s="80"/>
      <c r="X43" s="23"/>
    </row>
    <row r="44" spans="1:24" x14ac:dyDescent="0.3">
      <c r="A44">
        <v>29</v>
      </c>
      <c r="D44">
        <f t="shared" si="12"/>
        <v>6.8914472465053788E-3</v>
      </c>
      <c r="E44" s="80"/>
      <c r="F44" s="9">
        <f t="shared" si="7"/>
        <v>1.5842407463230754E-3</v>
      </c>
      <c r="G44" s="80"/>
      <c r="H44" s="9">
        <f t="shared" si="8"/>
        <v>4.5942981643369185E-2</v>
      </c>
      <c r="I44" s="80"/>
      <c r="J44" s="80"/>
      <c r="K44" s="43"/>
      <c r="L44" s="9">
        <f t="shared" si="9"/>
        <v>0.64637022449981474</v>
      </c>
      <c r="M44" s="9"/>
      <c r="N44" s="80"/>
      <c r="O44" s="43"/>
      <c r="P44">
        <v>29</v>
      </c>
      <c r="Q44">
        <f t="shared" si="10"/>
        <v>60</v>
      </c>
      <c r="R44" s="22"/>
      <c r="S44" s="23">
        <f t="shared" si="11"/>
        <v>3.4482758620689655E-2</v>
      </c>
      <c r="V44">
        <f t="shared" si="13"/>
        <v>68.965517241379317</v>
      </c>
      <c r="W44" s="80"/>
      <c r="X44" s="23"/>
    </row>
    <row r="45" spans="1:24" x14ac:dyDescent="0.3">
      <c r="A45">
        <v>30</v>
      </c>
      <c r="D45">
        <f t="shared" si="12"/>
        <v>6.0597208546857633E-3</v>
      </c>
      <c r="E45" s="80"/>
      <c r="F45" s="9">
        <f t="shared" si="7"/>
        <v>1.346604634374614E-3</v>
      </c>
      <c r="G45" s="80"/>
      <c r="H45" s="9">
        <f t="shared" si="8"/>
        <v>4.0398139031238421E-2</v>
      </c>
      <c r="I45" s="80"/>
      <c r="J45" s="80"/>
      <c r="K45" s="43"/>
      <c r="L45" s="9">
        <f t="shared" si="9"/>
        <v>0.5682671557060871</v>
      </c>
      <c r="M45" s="9"/>
      <c r="N45" s="80"/>
      <c r="O45" s="43"/>
      <c r="P45">
        <v>30</v>
      </c>
      <c r="Q45">
        <f t="shared" si="10"/>
        <v>62</v>
      </c>
      <c r="R45" s="22"/>
      <c r="S45" s="23">
        <f t="shared" si="11"/>
        <v>3.3333333333333333E-2</v>
      </c>
      <c r="V45">
        <f t="shared" si="13"/>
        <v>66.666666666666671</v>
      </c>
      <c r="W45" s="80"/>
      <c r="X45" s="23"/>
    </row>
    <row r="46" spans="1:24" x14ac:dyDescent="0.3">
      <c r="A46">
        <v>31</v>
      </c>
      <c r="D46">
        <f t="shared" si="12"/>
        <v>5.3224548173656629E-3</v>
      </c>
      <c r="E46" s="80"/>
      <c r="F46" s="9">
        <f t="shared" si="7"/>
        <v>1.1446139392184218E-3</v>
      </c>
      <c r="G46" s="80"/>
      <c r="H46" s="9">
        <f t="shared" si="8"/>
        <v>3.5483032115771078E-2</v>
      </c>
      <c r="I46" s="80"/>
      <c r="J46" s="80"/>
      <c r="K46" s="43"/>
      <c r="L46" s="9">
        <f t="shared" si="9"/>
        <v>0.4990516774992319</v>
      </c>
      <c r="M46" s="9"/>
      <c r="N46" s="80"/>
      <c r="O46" s="43"/>
      <c r="P46">
        <v>31</v>
      </c>
      <c r="Q46">
        <f t="shared" si="10"/>
        <v>64</v>
      </c>
      <c r="R46" s="22"/>
      <c r="S46" s="23">
        <f t="shared" si="11"/>
        <v>3.2258064516129031E-2</v>
      </c>
      <c r="V46">
        <f t="shared" si="13"/>
        <v>64.516129032258064</v>
      </c>
      <c r="W46" s="80"/>
      <c r="X46" s="23"/>
    </row>
    <row r="47" spans="1:24" x14ac:dyDescent="0.3">
      <c r="A47">
        <v>32</v>
      </c>
      <c r="D47">
        <f t="shared" si="12"/>
        <v>4.6700248720111604E-3</v>
      </c>
      <c r="E47" s="80"/>
      <c r="F47" s="9">
        <f t="shared" si="7"/>
        <v>9.729218483356583E-4</v>
      </c>
      <c r="G47" s="80"/>
      <c r="H47" s="9">
        <f t="shared" si="8"/>
        <v>3.1133499146741066E-2</v>
      </c>
      <c r="I47" s="80"/>
      <c r="J47" s="80"/>
      <c r="K47" s="43"/>
      <c r="L47" s="9">
        <f t="shared" si="9"/>
        <v>0.43781483175104624</v>
      </c>
      <c r="M47" s="9"/>
      <c r="N47" s="80"/>
      <c r="O47" s="43"/>
      <c r="P47">
        <v>32</v>
      </c>
      <c r="Q47">
        <f t="shared" si="10"/>
        <v>66</v>
      </c>
      <c r="R47" s="22"/>
      <c r="S47" s="23">
        <f t="shared" si="11"/>
        <v>3.125E-2</v>
      </c>
      <c r="V47">
        <f t="shared" si="13"/>
        <v>62.5</v>
      </c>
      <c r="W47" s="80"/>
      <c r="X47" s="23"/>
    </row>
    <row r="48" spans="1:24" x14ac:dyDescent="0.3">
      <c r="A48">
        <v>33</v>
      </c>
      <c r="D48">
        <f t="shared" si="12"/>
        <v>4.0935686768722836E-3</v>
      </c>
      <c r="E48" s="80"/>
      <c r="F48" s="9">
        <f t="shared" si="7"/>
        <v>8.2698357108530979E-4</v>
      </c>
      <c r="G48" s="80"/>
      <c r="H48" s="9">
        <f t="shared" si="8"/>
        <v>2.7290457845815224E-2</v>
      </c>
      <c r="I48" s="80"/>
      <c r="J48" s="80"/>
      <c r="K48" s="43"/>
      <c r="L48" s="9">
        <f t="shared" si="9"/>
        <v>0.38372037698358374</v>
      </c>
      <c r="M48" s="9"/>
      <c r="N48" s="80"/>
      <c r="O48" s="43"/>
      <c r="P48">
        <v>33</v>
      </c>
      <c r="Q48">
        <f t="shared" si="10"/>
        <v>68</v>
      </c>
      <c r="R48" s="22"/>
      <c r="S48" s="23">
        <f t="shared" si="11"/>
        <v>3.0303030303030304E-2</v>
      </c>
      <c r="V48">
        <f t="shared" si="13"/>
        <v>60.606060606060609</v>
      </c>
      <c r="W48" s="80"/>
      <c r="X48" s="23"/>
    </row>
    <row r="49" spans="1:24" x14ac:dyDescent="0.3">
      <c r="A49">
        <v>34</v>
      </c>
      <c r="D49">
        <f t="shared" si="12"/>
        <v>3.5849737806548181E-3</v>
      </c>
      <c r="E49" s="80"/>
      <c r="F49" s="9">
        <f t="shared" si="7"/>
        <v>7.0293603542251326E-4</v>
      </c>
      <c r="G49" s="80"/>
      <c r="H49" s="9">
        <f t="shared" si="8"/>
        <v>2.3899825204365451E-2</v>
      </c>
      <c r="I49" s="80"/>
      <c r="J49" s="80"/>
      <c r="K49" s="43"/>
      <c r="L49" s="9">
        <f t="shared" si="9"/>
        <v>0.33600342493196134</v>
      </c>
      <c r="M49" s="9"/>
      <c r="N49" s="80"/>
      <c r="O49" s="43"/>
      <c r="P49">
        <v>34</v>
      </c>
      <c r="Q49">
        <f t="shared" si="10"/>
        <v>70</v>
      </c>
      <c r="R49" s="22"/>
      <c r="S49" s="23">
        <f t="shared" si="11"/>
        <v>2.9411764705882353E-2</v>
      </c>
      <c r="V49">
        <f t="shared" si="13"/>
        <v>58.823529411764703</v>
      </c>
      <c r="W49" s="80"/>
      <c r="X49" s="23"/>
    </row>
    <row r="50" spans="1:24" x14ac:dyDescent="0.3">
      <c r="A50">
        <v>35</v>
      </c>
      <c r="D50">
        <f t="shared" si="12"/>
        <v>3.1368520580729656E-3</v>
      </c>
      <c r="E50" s="80"/>
      <c r="F50" s="9">
        <f t="shared" si="7"/>
        <v>5.9749563010913628E-4</v>
      </c>
      <c r="G50" s="80"/>
      <c r="H50" s="9">
        <f t="shared" si="8"/>
        <v>2.0912347053819769E-2</v>
      </c>
      <c r="I50" s="80"/>
      <c r="J50" s="80"/>
      <c r="K50" s="43"/>
      <c r="L50" s="9">
        <f t="shared" si="9"/>
        <v>0.29396785001369508</v>
      </c>
      <c r="M50" s="9"/>
      <c r="N50" s="80"/>
      <c r="O50" s="43"/>
      <c r="P50">
        <v>35</v>
      </c>
      <c r="Q50">
        <f t="shared" si="10"/>
        <v>72</v>
      </c>
      <c r="R50" s="22"/>
      <c r="S50" s="23">
        <f t="shared" si="11"/>
        <v>2.8571428571428571E-2</v>
      </c>
      <c r="V50">
        <f t="shared" si="13"/>
        <v>57.142857142857146</v>
      </c>
      <c r="W50" s="80"/>
      <c r="X50" s="23"/>
    </row>
    <row r="51" spans="1:24" x14ac:dyDescent="0.3">
      <c r="A51">
        <v>36</v>
      </c>
      <c r="D51">
        <f t="shared" si="12"/>
        <v>2.7425049422009355E-3</v>
      </c>
      <c r="E51" s="80"/>
      <c r="F51" s="9">
        <f t="shared" si="7"/>
        <v>5.0787128559276582E-4</v>
      </c>
      <c r="G51" s="80"/>
      <c r="H51" s="9">
        <f t="shared" si="8"/>
        <v>1.8283366281339569E-2</v>
      </c>
      <c r="I51" s="80"/>
      <c r="J51" s="80"/>
      <c r="K51" s="43"/>
      <c r="L51" s="9">
        <f t="shared" si="9"/>
        <v>0.25698287050993951</v>
      </c>
      <c r="M51" s="9"/>
      <c r="N51" s="80"/>
      <c r="O51" s="43"/>
      <c r="P51">
        <v>36</v>
      </c>
      <c r="Q51">
        <f t="shared" si="10"/>
        <v>74</v>
      </c>
      <c r="R51" s="22"/>
      <c r="S51" s="23">
        <f t="shared" si="11"/>
        <v>2.7777777777777776E-2</v>
      </c>
      <c r="V51">
        <f t="shared" si="13"/>
        <v>55.555555555555557</v>
      </c>
      <c r="W51" s="80"/>
      <c r="X51" s="23"/>
    </row>
    <row r="52" spans="1:24" x14ac:dyDescent="0.3">
      <c r="A52">
        <v>37</v>
      </c>
      <c r="D52">
        <f t="shared" si="12"/>
        <v>2.3958827897838731E-3</v>
      </c>
      <c r="E52" s="80"/>
      <c r="F52" s="9">
        <f t="shared" si="7"/>
        <v>4.3169059275385092E-4</v>
      </c>
      <c r="G52" s="80"/>
      <c r="H52" s="9">
        <f t="shared" si="8"/>
        <v>1.5972551931892485E-2</v>
      </c>
      <c r="I52" s="80"/>
      <c r="J52" s="80"/>
      <c r="K52" s="43"/>
      <c r="L52" s="9">
        <f t="shared" si="9"/>
        <v>0.22447910823200248</v>
      </c>
      <c r="M52" s="9"/>
      <c r="N52" s="80"/>
      <c r="O52" s="43"/>
      <c r="P52">
        <v>37</v>
      </c>
      <c r="Q52">
        <f t="shared" si="10"/>
        <v>76</v>
      </c>
      <c r="R52" s="22"/>
      <c r="S52" s="23">
        <f t="shared" si="11"/>
        <v>2.7027027027027029E-2</v>
      </c>
      <c r="V52">
        <f t="shared" si="13"/>
        <v>54.054054054054056</v>
      </c>
      <c r="W52" s="80"/>
      <c r="X52" s="23"/>
    </row>
    <row r="53" spans="1:24" x14ac:dyDescent="0.3">
      <c r="A53">
        <v>38</v>
      </c>
      <c r="D53">
        <f t="shared" si="12"/>
        <v>2.0915409218924077E-3</v>
      </c>
      <c r="E53" s="80"/>
      <c r="F53" s="9">
        <f t="shared" si="7"/>
        <v>3.6693700384077325E-4</v>
      </c>
      <c r="G53" s="80"/>
      <c r="H53" s="9">
        <f t="shared" si="8"/>
        <v>1.3943606145949384E-2</v>
      </c>
      <c r="I53" s="80"/>
      <c r="J53" s="80"/>
      <c r="K53" s="43"/>
      <c r="L53" s="9">
        <f t="shared" si="9"/>
        <v>0.1959443600509729</v>
      </c>
      <c r="M53" s="9"/>
      <c r="N53" s="80"/>
      <c r="O53" s="43"/>
      <c r="P53">
        <v>38</v>
      </c>
      <c r="Q53">
        <f t="shared" si="10"/>
        <v>78</v>
      </c>
      <c r="R53" s="22"/>
      <c r="S53" s="23">
        <f t="shared" si="11"/>
        <v>2.6315789473684209E-2</v>
      </c>
      <c r="V53">
        <f t="shared" si="13"/>
        <v>52.631578947368418</v>
      </c>
      <c r="W53" s="80"/>
      <c r="X53" s="23"/>
    </row>
    <row r="54" spans="1:24" x14ac:dyDescent="0.3">
      <c r="A54">
        <v>39</v>
      </c>
      <c r="D54">
        <f t="shared" si="12"/>
        <v>1.8245942515982452E-3</v>
      </c>
      <c r="E54" s="80"/>
      <c r="F54" s="9">
        <f t="shared" si="7"/>
        <v>3.1189645326465724E-4</v>
      </c>
      <c r="G54" s="80"/>
      <c r="H54" s="9">
        <f t="shared" si="8"/>
        <v>1.2163961677321632E-2</v>
      </c>
      <c r="I54" s="80"/>
      <c r="J54" s="80"/>
      <c r="K54" s="43"/>
      <c r="L54" s="9">
        <f t="shared" si="9"/>
        <v>0.17091925638903216</v>
      </c>
      <c r="M54" s="9"/>
      <c r="N54" s="80"/>
      <c r="O54" s="43"/>
      <c r="P54">
        <v>39</v>
      </c>
      <c r="Q54">
        <f t="shared" si="10"/>
        <v>80</v>
      </c>
      <c r="R54" s="22"/>
      <c r="S54" s="23">
        <f t="shared" si="11"/>
        <v>2.564102564102564E-2</v>
      </c>
      <c r="V54">
        <f t="shared" si="13"/>
        <v>51.282051282051285</v>
      </c>
      <c r="W54" s="80"/>
      <c r="X54" s="23"/>
    </row>
    <row r="55" spans="1:24" x14ac:dyDescent="0.3">
      <c r="A55">
        <v>40</v>
      </c>
      <c r="D55">
        <f t="shared" si="12"/>
        <v>1.5906719116497519E-3</v>
      </c>
      <c r="E55" s="80"/>
      <c r="F55" s="9">
        <f t="shared" si="7"/>
        <v>2.6511198527495863E-4</v>
      </c>
      <c r="G55" s="80"/>
      <c r="H55" s="9">
        <f t="shared" si="8"/>
        <v>1.0604479410998345E-2</v>
      </c>
      <c r="I55" s="80"/>
      <c r="J55" s="80"/>
      <c r="K55" s="43"/>
      <c r="L55" s="9">
        <f t="shared" si="9"/>
        <v>0.14899293572452674</v>
      </c>
      <c r="M55" s="9"/>
      <c r="N55" s="80"/>
      <c r="O55" s="43"/>
      <c r="P55">
        <v>40</v>
      </c>
      <c r="Q55">
        <f t="shared" si="10"/>
        <v>82</v>
      </c>
      <c r="R55" s="22"/>
      <c r="S55" s="23">
        <f t="shared" si="11"/>
        <v>2.5000000000000001E-2</v>
      </c>
      <c r="V55">
        <f t="shared" si="13"/>
        <v>50</v>
      </c>
      <c r="W55" s="80"/>
      <c r="X55" s="23"/>
    </row>
    <row r="56" spans="1:24" x14ac:dyDescent="0.3">
      <c r="A56">
        <v>41</v>
      </c>
      <c r="D56">
        <f t="shared" si="12"/>
        <v>1.3858729030248465E-3</v>
      </c>
      <c r="E56" s="80"/>
      <c r="F56" s="9">
        <f t="shared" si="7"/>
        <v>2.2534518748371486E-4</v>
      </c>
      <c r="G56" s="80"/>
      <c r="H56" s="9">
        <f t="shared" si="8"/>
        <v>9.2391526868323103E-3</v>
      </c>
      <c r="I56" s="80"/>
      <c r="J56" s="80"/>
      <c r="K56" s="43"/>
      <c r="L56" s="9">
        <f t="shared" si="9"/>
        <v>0.12979882799061976</v>
      </c>
      <c r="M56" s="9"/>
      <c r="N56" s="80"/>
      <c r="O56" s="43"/>
      <c r="P56">
        <v>41</v>
      </c>
      <c r="Q56">
        <f t="shared" si="10"/>
        <v>84</v>
      </c>
      <c r="R56" s="22"/>
      <c r="S56" s="23">
        <f t="shared" si="11"/>
        <v>2.4390243902439025E-2</v>
      </c>
      <c r="V56">
        <f t="shared" si="13"/>
        <v>48.780487804878049</v>
      </c>
      <c r="W56" s="80"/>
      <c r="X56" s="23"/>
    </row>
    <row r="57" spans="1:24" x14ac:dyDescent="0.3">
      <c r="A57">
        <v>42</v>
      </c>
      <c r="D57">
        <f t="shared" si="12"/>
        <v>1.2067234789752933E-3</v>
      </c>
      <c r="E57" s="80"/>
      <c r="F57" s="9">
        <f t="shared" si="7"/>
        <v>1.9154340936115762E-4</v>
      </c>
      <c r="G57" s="80"/>
      <c r="H57" s="9">
        <f t="shared" si="8"/>
        <v>8.0448231931686195E-3</v>
      </c>
      <c r="I57" s="80"/>
      <c r="J57" s="80"/>
      <c r="K57" s="43"/>
      <c r="L57" s="9">
        <f t="shared" si="9"/>
        <v>0.11301061152308299</v>
      </c>
      <c r="M57" s="9"/>
      <c r="N57" s="80"/>
      <c r="O57" s="43"/>
      <c r="P57">
        <v>42</v>
      </c>
      <c r="Q57">
        <f t="shared" si="10"/>
        <v>86</v>
      </c>
      <c r="R57" s="22"/>
      <c r="S57" s="23">
        <f t="shared" si="11"/>
        <v>2.3809523809523808E-2</v>
      </c>
      <c r="V57">
        <f t="shared" si="13"/>
        <v>47.61904761904762</v>
      </c>
      <c r="W57" s="80"/>
      <c r="X57" s="23"/>
    </row>
    <row r="58" spans="1:24" x14ac:dyDescent="0.3">
      <c r="A58">
        <v>43</v>
      </c>
      <c r="D58">
        <f t="shared" si="12"/>
        <v>1.0501367418225467E-3</v>
      </c>
      <c r="E58" s="80"/>
      <c r="F58" s="9">
        <f t="shared" si="7"/>
        <v>1.6281189795698395E-4</v>
      </c>
      <c r="G58" s="80"/>
      <c r="H58" s="9">
        <f t="shared" si="8"/>
        <v>7.0009116121503099E-3</v>
      </c>
      <c r="I58" s="80"/>
      <c r="J58" s="80"/>
      <c r="K58" s="43"/>
      <c r="L58" s="9">
        <f t="shared" si="9"/>
        <v>9.8338386366018313E-2</v>
      </c>
      <c r="M58" s="9"/>
      <c r="N58" s="80"/>
      <c r="O58" s="43"/>
      <c r="P58">
        <v>43</v>
      </c>
      <c r="Q58">
        <f t="shared" si="10"/>
        <v>88</v>
      </c>
      <c r="R58" s="22"/>
      <c r="S58" s="23">
        <f t="shared" si="11"/>
        <v>2.3255813953488372E-2</v>
      </c>
      <c r="V58">
        <f t="shared" si="13"/>
        <v>46.511627906976742</v>
      </c>
      <c r="W58" s="80"/>
      <c r="X58" s="23"/>
    </row>
    <row r="59" spans="1:24" x14ac:dyDescent="0.3">
      <c r="A59">
        <v>44</v>
      </c>
      <c r="D59">
        <f t="shared" si="12"/>
        <v>9.1337474753868005E-4</v>
      </c>
      <c r="E59" s="80"/>
      <c r="F59" s="9">
        <f t="shared" si="7"/>
        <v>1.3839011326343637E-4</v>
      </c>
      <c r="G59" s="80"/>
      <c r="H59" s="9">
        <f t="shared" si="8"/>
        <v>6.0891649835912E-3</v>
      </c>
      <c r="I59" s="80"/>
      <c r="J59" s="80"/>
      <c r="K59" s="43"/>
      <c r="L59" s="9">
        <f t="shared" si="9"/>
        <v>8.552508999680368E-2</v>
      </c>
      <c r="M59" s="9"/>
      <c r="N59" s="80"/>
      <c r="O59" s="43"/>
      <c r="P59">
        <v>44</v>
      </c>
      <c r="Q59">
        <f t="shared" si="10"/>
        <v>90</v>
      </c>
      <c r="R59" s="22"/>
      <c r="S59" s="23">
        <f t="shared" si="11"/>
        <v>2.2727272727272728E-2</v>
      </c>
      <c r="V59">
        <f t="shared" si="13"/>
        <v>45.454545454545453</v>
      </c>
      <c r="W59" s="80"/>
      <c r="X59" s="23"/>
    </row>
    <row r="60" spans="1:24" x14ac:dyDescent="0.3">
      <c r="A60">
        <v>45</v>
      </c>
      <c r="D60">
        <f t="shared" si="12"/>
        <v>7.9401327484896617E-4</v>
      </c>
      <c r="E60" s="80"/>
      <c r="F60" s="9">
        <f t="shared" si="7"/>
        <v>1.176315962739209E-4</v>
      </c>
      <c r="G60" s="80"/>
      <c r="H60" s="9">
        <f t="shared" si="8"/>
        <v>5.2934218323264408E-3</v>
      </c>
      <c r="I60" s="80"/>
      <c r="J60" s="80"/>
      <c r="K60" s="43"/>
      <c r="L60" s="9">
        <f t="shared" si="9"/>
        <v>7.4343168845118004E-2</v>
      </c>
      <c r="M60" s="9"/>
      <c r="N60" s="80"/>
      <c r="O60" s="43"/>
      <c r="P60">
        <v>45</v>
      </c>
      <c r="Q60">
        <f t="shared" si="10"/>
        <v>92</v>
      </c>
      <c r="R60" s="22"/>
      <c r="S60" s="23">
        <f t="shared" si="11"/>
        <v>2.2222222222222223E-2</v>
      </c>
      <c r="V60">
        <f t="shared" si="13"/>
        <v>44.444444444444443</v>
      </c>
      <c r="W60" s="80"/>
      <c r="X60" s="23"/>
    </row>
    <row r="61" spans="1:24" x14ac:dyDescent="0.3">
      <c r="A61">
        <v>46</v>
      </c>
      <c r="D61">
        <f t="shared" si="12"/>
        <v>6.8990931214654618E-4</v>
      </c>
      <c r="E61" s="80"/>
      <c r="F61" s="9">
        <f t="shared" si="7"/>
        <v>9.9986856832832754E-5</v>
      </c>
      <c r="G61" s="80"/>
      <c r="H61" s="9">
        <f t="shared" si="8"/>
        <v>4.5993954143103066E-3</v>
      </c>
      <c r="I61" s="80"/>
      <c r="J61" s="80"/>
      <c r="K61" s="43"/>
      <c r="L61" s="9">
        <f t="shared" si="9"/>
        <v>6.4591509514009965E-2</v>
      </c>
      <c r="M61" s="9"/>
      <c r="N61" s="80"/>
      <c r="O61" s="43"/>
      <c r="P61">
        <v>46</v>
      </c>
      <c r="Q61">
        <f t="shared" si="10"/>
        <v>94</v>
      </c>
      <c r="R61" s="22"/>
      <c r="S61" s="23">
        <f t="shared" si="11"/>
        <v>2.1739130434782608E-2</v>
      </c>
      <c r="V61">
        <f t="shared" si="13"/>
        <v>43.478260869565219</v>
      </c>
      <c r="W61" s="80"/>
      <c r="X61" s="23"/>
    </row>
    <row r="62" spans="1:24" x14ac:dyDescent="0.3">
      <c r="A62">
        <v>47</v>
      </c>
      <c r="D62">
        <f t="shared" si="12"/>
        <v>5.991712395707503E-4</v>
      </c>
      <c r="E62" s="80"/>
      <c r="F62" s="9">
        <f t="shared" si="7"/>
        <v>8.4988828307907839E-5</v>
      </c>
      <c r="G62" s="80"/>
      <c r="H62" s="9">
        <f t="shared" si="8"/>
        <v>3.9944749304716681E-3</v>
      </c>
      <c r="I62" s="80"/>
      <c r="J62" s="80"/>
      <c r="K62" s="43"/>
      <c r="L62" s="9">
        <f t="shared" si="9"/>
        <v>5.6092626683219175E-2</v>
      </c>
      <c r="M62" s="9"/>
      <c r="N62" s="80"/>
      <c r="O62" s="43"/>
      <c r="P62">
        <v>47</v>
      </c>
      <c r="Q62">
        <f t="shared" si="10"/>
        <v>96</v>
      </c>
      <c r="R62" s="22"/>
      <c r="S62" s="23">
        <f t="shared" si="11"/>
        <v>2.1276595744680851E-2</v>
      </c>
      <c r="V62">
        <f t="shared" si="13"/>
        <v>42.553191489361701</v>
      </c>
      <c r="W62" s="80"/>
      <c r="X62" s="23"/>
    </row>
    <row r="63" spans="1:24" x14ac:dyDescent="0.3">
      <c r="A63">
        <v>48</v>
      </c>
      <c r="D63">
        <f t="shared" si="12"/>
        <v>5.2013162924439602E-4</v>
      </c>
      <c r="E63" s="80"/>
      <c r="F63" s="9">
        <f t="shared" si="7"/>
        <v>7.2240504061721656E-5</v>
      </c>
      <c r="G63" s="80"/>
      <c r="H63" s="9">
        <f t="shared" si="8"/>
        <v>3.4675441949626393E-3</v>
      </c>
      <c r="I63" s="80"/>
      <c r="J63" s="80"/>
      <c r="K63" s="43"/>
      <c r="L63" s="9">
        <f t="shared" si="9"/>
        <v>4.8690099737600398E-2</v>
      </c>
      <c r="M63" s="9"/>
      <c r="N63" s="80"/>
      <c r="O63" s="43"/>
      <c r="P63">
        <v>48</v>
      </c>
      <c r="Q63">
        <f t="shared" si="10"/>
        <v>98</v>
      </c>
      <c r="R63" s="22"/>
      <c r="S63" s="23">
        <f t="shared" si="11"/>
        <v>2.0833333333333332E-2</v>
      </c>
      <c r="V63">
        <f t="shared" si="13"/>
        <v>41.666666666666664</v>
      </c>
      <c r="W63" s="80"/>
      <c r="X63" s="23"/>
    </row>
    <row r="64" spans="1:24" x14ac:dyDescent="0.3">
      <c r="A64">
        <v>49</v>
      </c>
      <c r="D64">
        <f t="shared" si="12"/>
        <v>4.5132254912560614E-4</v>
      </c>
      <c r="E64" s="80"/>
      <c r="F64" s="9">
        <f t="shared" si="7"/>
        <v>6.1404428452463419E-5</v>
      </c>
      <c r="G64" s="80"/>
      <c r="H64" s="9">
        <f t="shared" si="8"/>
        <v>3.0088169941707077E-3</v>
      </c>
      <c r="I64" s="80"/>
      <c r="J64" s="80"/>
      <c r="K64" s="43"/>
      <c r="L64" s="9">
        <f t="shared" si="9"/>
        <v>4.224624677529483E-2</v>
      </c>
      <c r="M64" s="9"/>
      <c r="N64" s="80"/>
      <c r="O64" s="43"/>
      <c r="P64">
        <v>49</v>
      </c>
      <c r="Q64">
        <f t="shared" si="10"/>
        <v>100</v>
      </c>
      <c r="R64" s="22"/>
      <c r="S64" s="23">
        <f t="shared" si="11"/>
        <v>2.0408163265306121E-2</v>
      </c>
      <c r="V64">
        <f t="shared" si="13"/>
        <v>40.816326530612244</v>
      </c>
      <c r="W64" s="80"/>
      <c r="X64" s="23"/>
    </row>
    <row r="65" spans="1:24" x14ac:dyDescent="0.3">
      <c r="A65">
        <v>50</v>
      </c>
      <c r="D65">
        <f t="shared" si="12"/>
        <v>3.9145323138445429E-4</v>
      </c>
      <c r="E65" s="80"/>
      <c r="F65" s="9">
        <f t="shared" si="7"/>
        <v>5.21937641845939E-5</v>
      </c>
      <c r="G65" s="80"/>
      <c r="H65" s="9">
        <f t="shared" si="8"/>
        <v>2.609688209229695E-3</v>
      </c>
      <c r="I65" s="80"/>
      <c r="J65" s="80"/>
      <c r="K65" s="43"/>
      <c r="L65" s="9">
        <f t="shared" si="9"/>
        <v>3.6640022457584916E-2</v>
      </c>
      <c r="M65" s="9"/>
      <c r="N65" s="80"/>
      <c r="O65" s="43"/>
      <c r="P65">
        <v>50</v>
      </c>
      <c r="Q65">
        <f t="shared" si="10"/>
        <v>102</v>
      </c>
      <c r="R65" s="22"/>
      <c r="S65" s="23">
        <f t="shared" si="11"/>
        <v>0.02</v>
      </c>
      <c r="V65">
        <f t="shared" si="13"/>
        <v>40</v>
      </c>
      <c r="W65" s="80"/>
      <c r="X65" s="23"/>
    </row>
    <row r="66" spans="1:24" x14ac:dyDescent="0.3">
      <c r="A66">
        <v>51</v>
      </c>
      <c r="D66">
        <f t="shared" si="12"/>
        <v>3.3938995161032195E-4</v>
      </c>
      <c r="E66" s="80"/>
      <c r="F66" s="9">
        <f t="shared" si="7"/>
        <v>4.436469955690482E-5</v>
      </c>
      <c r="G66" s="80"/>
      <c r="H66" s="9">
        <f t="shared" si="8"/>
        <v>2.2625996774021458E-3</v>
      </c>
      <c r="I66" s="80"/>
      <c r="J66" s="80"/>
      <c r="K66" s="43"/>
      <c r="L66" s="9">
        <f t="shared" si="9"/>
        <v>3.1765124882743849E-2</v>
      </c>
      <c r="M66" s="9"/>
      <c r="N66" s="80"/>
      <c r="O66" s="43"/>
      <c r="P66">
        <v>51</v>
      </c>
      <c r="Q66">
        <f t="shared" si="10"/>
        <v>104</v>
      </c>
      <c r="R66" s="22"/>
      <c r="S66" s="23">
        <f t="shared" si="11"/>
        <v>1.9607843137254902E-2</v>
      </c>
      <c r="V66">
        <f t="shared" si="13"/>
        <v>39.215686274509807</v>
      </c>
      <c r="W66" s="80"/>
      <c r="X66" s="23"/>
    </row>
    <row r="67" spans="1:24" x14ac:dyDescent="0.3">
      <c r="A67">
        <v>52</v>
      </c>
      <c r="D67">
        <f t="shared" si="12"/>
        <v>2.9413795806227896E-4</v>
      </c>
      <c r="E67" s="80"/>
      <c r="F67" s="9">
        <f t="shared" si="7"/>
        <v>3.7709994623369093E-5</v>
      </c>
      <c r="G67" s="80"/>
      <c r="H67" s="9">
        <f t="shared" si="8"/>
        <v>1.960919720415193E-3</v>
      </c>
      <c r="I67" s="80"/>
      <c r="J67" s="80"/>
      <c r="K67" s="43"/>
      <c r="L67" s="9">
        <f t="shared" si="9"/>
        <v>2.7528296075059439E-2</v>
      </c>
      <c r="M67" s="9"/>
      <c r="N67" s="80"/>
      <c r="O67" s="43"/>
      <c r="P67">
        <v>52</v>
      </c>
      <c r="Q67">
        <f t="shared" si="10"/>
        <v>106</v>
      </c>
      <c r="R67" s="22"/>
      <c r="S67" s="23">
        <f t="shared" si="11"/>
        <v>1.9230769230769232E-2</v>
      </c>
      <c r="V67">
        <f t="shared" si="13"/>
        <v>38.46153846153846</v>
      </c>
      <c r="W67" s="80"/>
      <c r="X67" s="23"/>
    </row>
    <row r="68" spans="1:24" x14ac:dyDescent="0.3">
      <c r="A68">
        <v>53</v>
      </c>
      <c r="D68">
        <f t="shared" si="12"/>
        <v>2.5482528866741666E-4</v>
      </c>
      <c r="E68" s="80"/>
      <c r="F68" s="9">
        <f t="shared" si="7"/>
        <v>3.2053495429863725E-5</v>
      </c>
      <c r="G68" s="80"/>
      <c r="H68" s="9">
        <f t="shared" si="8"/>
        <v>1.6988352577827774E-3</v>
      </c>
      <c r="I68" s="80"/>
      <c r="J68" s="80"/>
      <c r="K68" s="43"/>
      <c r="L68" s="9">
        <f t="shared" si="9"/>
        <v>2.384780059981861E-2</v>
      </c>
      <c r="M68" s="9"/>
      <c r="N68" s="80"/>
      <c r="O68" s="43"/>
      <c r="P68">
        <v>53</v>
      </c>
      <c r="Q68">
        <f t="shared" si="10"/>
        <v>108</v>
      </c>
      <c r="R68" s="22"/>
      <c r="S68" s="23">
        <f t="shared" si="11"/>
        <v>1.8867924528301886E-2</v>
      </c>
      <c r="V68">
        <f t="shared" si="13"/>
        <v>37.735849056603776</v>
      </c>
      <c r="W68" s="80"/>
      <c r="X68" s="23"/>
    </row>
    <row r="69" spans="1:24" x14ac:dyDescent="0.3">
      <c r="A69">
        <v>54</v>
      </c>
      <c r="D69">
        <f t="shared" si="12"/>
        <v>2.2068831603461175E-4</v>
      </c>
      <c r="E69" s="80"/>
      <c r="F69" s="9">
        <f t="shared" si="7"/>
        <v>2.7245471115384166E-5</v>
      </c>
      <c r="G69" s="80"/>
      <c r="H69" s="9">
        <f t="shared" si="8"/>
        <v>1.471255440230745E-3</v>
      </c>
      <c r="I69" s="80"/>
      <c r="J69" s="80"/>
      <c r="K69" s="43"/>
      <c r="L69" s="9">
        <f t="shared" si="9"/>
        <v>2.0652067105461198E-2</v>
      </c>
      <c r="M69" s="9"/>
      <c r="N69" s="80"/>
      <c r="O69" s="43"/>
      <c r="P69">
        <v>54</v>
      </c>
      <c r="Q69">
        <f t="shared" si="10"/>
        <v>110</v>
      </c>
      <c r="R69" s="22"/>
      <c r="S69" s="23">
        <f t="shared" si="11"/>
        <v>1.8518518518518517E-2</v>
      </c>
      <c r="V69">
        <f t="shared" si="13"/>
        <v>37.037037037037038</v>
      </c>
      <c r="W69" s="80"/>
      <c r="X69" s="23"/>
    </row>
    <row r="70" spans="1:24" x14ac:dyDescent="0.3">
      <c r="A70">
        <v>55</v>
      </c>
      <c r="D70">
        <f t="shared" si="12"/>
        <v>1.9105886619663146E-4</v>
      </c>
      <c r="E70" s="80"/>
      <c r="F70" s="9">
        <f t="shared" si="7"/>
        <v>2.3158650448076538E-5</v>
      </c>
      <c r="G70" s="80"/>
      <c r="H70" s="9">
        <f t="shared" si="8"/>
        <v>1.2737257746442095E-3</v>
      </c>
      <c r="I70" s="80"/>
      <c r="J70" s="80"/>
      <c r="K70" s="43"/>
      <c r="L70" s="9">
        <f t="shared" si="9"/>
        <v>1.7878478145915089E-2</v>
      </c>
      <c r="M70" s="9"/>
      <c r="N70" s="80"/>
      <c r="O70" s="43"/>
      <c r="P70">
        <v>55</v>
      </c>
      <c r="Q70">
        <f t="shared" si="10"/>
        <v>112</v>
      </c>
      <c r="R70" s="22"/>
      <c r="S70" s="23">
        <f t="shared" si="11"/>
        <v>1.8181818181818181E-2</v>
      </c>
      <c r="V70">
        <f t="shared" si="13"/>
        <v>36.363636363636367</v>
      </c>
      <c r="W70" s="80"/>
      <c r="X70" s="23"/>
    </row>
    <row r="71" spans="1:24" x14ac:dyDescent="0.3">
      <c r="A71">
        <v>56</v>
      </c>
      <c r="D71">
        <f t="shared" si="12"/>
        <v>1.6535276419926646E-4</v>
      </c>
      <c r="E71" s="80"/>
      <c r="F71" s="9">
        <f t="shared" si="7"/>
        <v>1.9684852880865056E-5</v>
      </c>
      <c r="G71" s="80"/>
      <c r="H71" s="9">
        <f t="shared" si="8"/>
        <v>1.1023517613284431E-3</v>
      </c>
      <c r="I71" s="80"/>
      <c r="J71" s="80"/>
      <c r="K71" s="43"/>
      <c r="L71" s="9">
        <f t="shared" si="9"/>
        <v>1.5472294364359934E-2</v>
      </c>
      <c r="M71" s="9"/>
      <c r="N71" s="80"/>
      <c r="O71" s="43"/>
      <c r="P71">
        <v>56</v>
      </c>
      <c r="Q71">
        <f t="shared" si="10"/>
        <v>114</v>
      </c>
      <c r="R71" s="22"/>
      <c r="S71" s="23">
        <f t="shared" si="11"/>
        <v>1.7857142857142856E-2</v>
      </c>
      <c r="V71">
        <f t="shared" si="13"/>
        <v>35.714285714285715</v>
      </c>
      <c r="W71" s="80"/>
      <c r="X71" s="23"/>
    </row>
    <row r="72" spans="1:24" x14ac:dyDescent="0.3">
      <c r="A72">
        <v>57</v>
      </c>
      <c r="D72">
        <f t="shared" si="12"/>
        <v>1.4305966831168682E-4</v>
      </c>
      <c r="E72" s="80"/>
      <c r="F72" s="9">
        <f t="shared" si="7"/>
        <v>1.6732124948735296E-5</v>
      </c>
      <c r="G72" s="80"/>
      <c r="H72" s="9">
        <f t="shared" si="8"/>
        <v>9.5373112207791189E-4</v>
      </c>
      <c r="I72" s="80"/>
      <c r="J72" s="80"/>
      <c r="K72" s="43"/>
      <c r="L72" s="9">
        <f t="shared" si="9"/>
        <v>1.3385699958988237E-2</v>
      </c>
      <c r="M72" s="9"/>
      <c r="N72" s="80"/>
      <c r="O72" s="43"/>
      <c r="P72">
        <v>57</v>
      </c>
      <c r="Q72">
        <f t="shared" si="10"/>
        <v>116</v>
      </c>
      <c r="R72" s="22"/>
      <c r="S72" s="23">
        <f t="shared" si="11"/>
        <v>1.7543859649122806E-2</v>
      </c>
      <c r="V72">
        <f t="shared" si="13"/>
        <v>35.087719298245617</v>
      </c>
      <c r="W72" s="80"/>
      <c r="X72" s="23"/>
    </row>
    <row r="73" spans="1:24" x14ac:dyDescent="0.3">
      <c r="A73">
        <v>58</v>
      </c>
      <c r="D73">
        <f t="shared" si="12"/>
        <v>1.2373406399589755E-4</v>
      </c>
      <c r="E73" s="80"/>
      <c r="F73" s="9">
        <f t="shared" si="7"/>
        <v>1.4222306206425003E-5</v>
      </c>
      <c r="G73" s="80"/>
      <c r="H73" s="9">
        <f t="shared" si="8"/>
        <v>8.2489375997265018E-4</v>
      </c>
      <c r="I73" s="80"/>
      <c r="J73" s="80"/>
      <c r="K73" s="43"/>
      <c r="L73" s="9">
        <f t="shared" si="9"/>
        <v>1.1576957252029953E-2</v>
      </c>
      <c r="M73" s="9"/>
      <c r="N73" s="80"/>
      <c r="O73" s="43"/>
      <c r="P73">
        <v>58</v>
      </c>
      <c r="Q73">
        <f t="shared" si="10"/>
        <v>118</v>
      </c>
      <c r="R73" s="22"/>
      <c r="S73" s="23">
        <f t="shared" si="11"/>
        <v>1.7241379310344827E-2</v>
      </c>
      <c r="V73">
        <f t="shared" si="13"/>
        <v>34.482758620689658</v>
      </c>
      <c r="W73" s="80"/>
      <c r="X73" s="23"/>
    </row>
    <row r="74" spans="1:24" x14ac:dyDescent="0.3">
      <c r="A74">
        <v>59</v>
      </c>
      <c r="D74">
        <f t="shared" si="12"/>
        <v>1.069872984378321E-4</v>
      </c>
      <c r="E74" s="80"/>
      <c r="F74" s="9">
        <f t="shared" si="7"/>
        <v>1.2088960275461252E-5</v>
      </c>
      <c r="G74" s="80"/>
      <c r="H74" s="9">
        <f t="shared" si="8"/>
        <v>7.132486562522138E-4</v>
      </c>
      <c r="I74" s="80"/>
      <c r="J74" s="80"/>
      <c r="K74" s="43"/>
      <c r="L74" s="9">
        <f t="shared" si="9"/>
        <v>1.0009659108081916E-2</v>
      </c>
      <c r="M74" s="9"/>
      <c r="N74" s="80"/>
      <c r="O74" s="43"/>
      <c r="P74">
        <v>59</v>
      </c>
      <c r="Q74">
        <f t="shared" si="10"/>
        <v>120</v>
      </c>
      <c r="R74" s="22"/>
      <c r="S74" s="23">
        <f t="shared" si="11"/>
        <v>1.6949152542372881E-2</v>
      </c>
      <c r="V74">
        <f t="shared" si="13"/>
        <v>33.898305084745765</v>
      </c>
      <c r="W74" s="80"/>
      <c r="X74" s="23"/>
    </row>
    <row r="75" spans="1:24" x14ac:dyDescent="0.3">
      <c r="A75">
        <v>60</v>
      </c>
      <c r="D75">
        <f t="shared" si="12"/>
        <v>9.2480546107278589E-5</v>
      </c>
      <c r="E75" s="80"/>
      <c r="F75" s="9">
        <f t="shared" si="7"/>
        <v>1.0275616234142064E-5</v>
      </c>
      <c r="G75" s="80"/>
      <c r="H75" s="9">
        <f t="shared" si="8"/>
        <v>6.165369740485238E-4</v>
      </c>
      <c r="I75" s="80"/>
      <c r="J75" s="80"/>
      <c r="K75" s="43"/>
      <c r="L75" s="9">
        <f t="shared" si="9"/>
        <v>8.6520688691476173E-3</v>
      </c>
      <c r="M75" s="9"/>
      <c r="N75" s="80"/>
      <c r="O75" s="43"/>
      <c r="P75">
        <v>60</v>
      </c>
      <c r="Q75">
        <f t="shared" si="10"/>
        <v>122</v>
      </c>
      <c r="R75" s="22"/>
      <c r="S75" s="23">
        <f t="shared" si="11"/>
        <v>1.6666666666666666E-2</v>
      </c>
      <c r="V75">
        <f t="shared" si="13"/>
        <v>33.333333333333336</v>
      </c>
      <c r="W75" s="80"/>
      <c r="X75" s="23"/>
    </row>
    <row r="76" spans="1:24" x14ac:dyDescent="0.3">
      <c r="A76">
        <v>61</v>
      </c>
      <c r="D76">
        <f t="shared" si="12"/>
        <v>7.9918605261039899E-5</v>
      </c>
      <c r="E76" s="80"/>
      <c r="F76" s="9">
        <f t="shared" si="7"/>
        <v>8.734273799020753E-6</v>
      </c>
      <c r="G76" s="80"/>
      <c r="H76" s="9">
        <f t="shared" si="8"/>
        <v>5.3279070174026594E-4</v>
      </c>
      <c r="I76" s="80"/>
      <c r="J76" s="80"/>
      <c r="K76" s="43"/>
      <c r="L76" s="9">
        <f t="shared" si="9"/>
        <v>7.4765383719617648E-3</v>
      </c>
      <c r="M76" s="9"/>
      <c r="N76" s="80"/>
      <c r="O76" s="43"/>
      <c r="P76">
        <v>61</v>
      </c>
      <c r="Q76">
        <f t="shared" si="10"/>
        <v>124</v>
      </c>
      <c r="R76" s="22"/>
      <c r="S76" s="23">
        <f t="shared" si="11"/>
        <v>1.6393442622950821E-2</v>
      </c>
      <c r="V76">
        <f t="shared" si="13"/>
        <v>32.786885245901637</v>
      </c>
      <c r="W76" s="80"/>
      <c r="X76" s="23"/>
    </row>
    <row r="77" spans="1:24" x14ac:dyDescent="0.3">
      <c r="A77">
        <v>62</v>
      </c>
      <c r="D77">
        <f>A77*((1-$D$2)^2)*$D$2^(A77-1)</f>
        <v>6.9044434381259069E-5</v>
      </c>
      <c r="E77" s="80"/>
      <c r="F77" s="9">
        <f t="shared" si="7"/>
        <v>7.4241327291676399E-6</v>
      </c>
      <c r="G77" s="80"/>
      <c r="H77" s="9">
        <f t="shared" si="8"/>
        <v>4.6029622920839365E-4</v>
      </c>
      <c r="I77" s="80"/>
      <c r="J77" s="80"/>
      <c r="K77" s="43"/>
      <c r="L77" s="9">
        <f t="shared" si="9"/>
        <v>6.4589954743758471E-3</v>
      </c>
      <c r="M77" s="9"/>
      <c r="N77" s="80"/>
      <c r="O77" s="43"/>
      <c r="P77">
        <v>62</v>
      </c>
      <c r="Q77">
        <f t="shared" si="10"/>
        <v>126</v>
      </c>
      <c r="R77" s="22"/>
      <c r="S77" s="23">
        <f t="shared" si="11"/>
        <v>1.6129032258064516E-2</v>
      </c>
      <c r="V77">
        <f t="shared" si="13"/>
        <v>32.258064516129032</v>
      </c>
      <c r="W77" s="80"/>
      <c r="X77" s="23"/>
    </row>
    <row r="78" spans="1:24" x14ac:dyDescent="0.3">
      <c r="A78">
        <v>63</v>
      </c>
      <c r="D78">
        <f t="shared" si="12"/>
        <v>5.9634346147039084E-5</v>
      </c>
      <c r="E78" s="80"/>
      <c r="F78" s="9">
        <f t="shared" si="7"/>
        <v>6.3105128197924942E-6</v>
      </c>
      <c r="G78" s="80"/>
      <c r="H78" s="9">
        <f t="shared" si="8"/>
        <v>3.9756230764692715E-4</v>
      </c>
      <c r="I78" s="80"/>
      <c r="J78" s="80"/>
      <c r="K78" s="43"/>
      <c r="L78" s="9">
        <f t="shared" si="9"/>
        <v>5.5784933326965651E-3</v>
      </c>
      <c r="M78" s="9"/>
      <c r="N78" s="80"/>
      <c r="O78" s="43"/>
      <c r="P78">
        <v>63</v>
      </c>
      <c r="Q78">
        <f t="shared" si="10"/>
        <v>128</v>
      </c>
      <c r="R78" s="22"/>
      <c r="S78" s="23">
        <f t="shared" si="11"/>
        <v>1.5873015873015872E-2</v>
      </c>
      <c r="V78">
        <f t="shared" si="13"/>
        <v>31.746031746031747</v>
      </c>
      <c r="W78" s="80"/>
      <c r="X78" s="23"/>
    </row>
    <row r="79" spans="1:24" x14ac:dyDescent="0.3">
      <c r="A79">
        <v>64</v>
      </c>
      <c r="D79">
        <f t="shared" si="12"/>
        <v>5.1493784609506736E-5</v>
      </c>
      <c r="E79" s="80"/>
      <c r="F79" s="9">
        <f t="shared" si="7"/>
        <v>5.3639358968236178E-6</v>
      </c>
      <c r="G79" s="80"/>
      <c r="H79" s="9">
        <f t="shared" si="8"/>
        <v>3.4329189739671154E-4</v>
      </c>
      <c r="I79" s="80"/>
      <c r="J79" s="80"/>
      <c r="K79" s="43"/>
      <c r="L79" s="9">
        <f t="shared" si="9"/>
        <v>4.8168144353476086E-3</v>
      </c>
      <c r="M79" s="9"/>
      <c r="N79" s="80"/>
      <c r="O79" s="43"/>
      <c r="P79">
        <v>64</v>
      </c>
      <c r="Q79">
        <f t="shared" si="10"/>
        <v>130</v>
      </c>
      <c r="R79" s="22"/>
      <c r="S79" s="23">
        <f t="shared" si="11"/>
        <v>1.5625E-2</v>
      </c>
      <c r="V79">
        <f t="shared" si="13"/>
        <v>31.25</v>
      </c>
      <c r="W79" s="80"/>
      <c r="X79" s="23"/>
    </row>
    <row r="80" spans="1:24" x14ac:dyDescent="0.3">
      <c r="A80">
        <v>65</v>
      </c>
      <c r="D80">
        <f t="shared" ref="D80:D115" si="14">A80*((1-$D$2)^2)*$D$2^(A80-1)</f>
        <v>4.4453618744925755E-5</v>
      </c>
      <c r="E80" s="80"/>
      <c r="F80" s="9">
        <f t="shared" si="7"/>
        <v>4.5593455123000763E-6</v>
      </c>
      <c r="G80" s="80"/>
      <c r="H80" s="9">
        <f t="shared" si="8"/>
        <v>2.9635745829950498E-4</v>
      </c>
      <c r="I80" s="80"/>
      <c r="J80" s="80"/>
      <c r="K80" s="43"/>
      <c r="L80" s="9">
        <f t="shared" si="9"/>
        <v>4.1581231072176693E-3</v>
      </c>
      <c r="M80" s="9"/>
      <c r="N80" s="80"/>
      <c r="O80" s="43"/>
      <c r="P80">
        <v>65</v>
      </c>
      <c r="Q80">
        <f t="shared" si="10"/>
        <v>132</v>
      </c>
      <c r="R80" s="22"/>
      <c r="S80" s="23">
        <f t="shared" si="11"/>
        <v>1.5384615384615385E-2</v>
      </c>
      <c r="V80">
        <f t="shared" si="13"/>
        <v>30.76923076923077</v>
      </c>
      <c r="W80" s="80"/>
      <c r="X80" s="23"/>
    </row>
    <row r="81" spans="1:24" x14ac:dyDescent="0.3">
      <c r="A81">
        <v>66</v>
      </c>
      <c r="D81">
        <f t="shared" si="14"/>
        <v>3.8366892486005149E-5</v>
      </c>
      <c r="E81" s="80"/>
      <c r="F81" s="9">
        <f t="shared" ref="F81:F115" si="15">($D$2^(A81-1))*(1-$D$2)</f>
        <v>3.8754436854550652E-6</v>
      </c>
      <c r="G81" s="80"/>
      <c r="H81" s="9">
        <f t="shared" ref="H81:H115" si="16">A81*F81</f>
        <v>2.5577928324003432E-4</v>
      </c>
      <c r="I81" s="80"/>
      <c r="J81" s="80"/>
      <c r="K81" s="43"/>
      <c r="L81" s="9">
        <f t="shared" ref="L81:L115" si="17">((12*P81)+(2*P81)+2)*F81</f>
        <v>3.5886608527313903E-3</v>
      </c>
      <c r="M81" s="9"/>
      <c r="N81" s="80"/>
      <c r="O81" s="43"/>
      <c r="P81">
        <v>66</v>
      </c>
      <c r="Q81">
        <f t="shared" ref="Q81:Q115" si="18">(2*P81)+2</f>
        <v>134</v>
      </c>
      <c r="R81" s="22"/>
      <c r="S81" s="23">
        <f t="shared" ref="S81:S115" si="19">$R$16/A81</f>
        <v>1.5151515151515152E-2</v>
      </c>
      <c r="V81">
        <f t="shared" ref="V81:V114" si="20">$U$16/A81</f>
        <v>30.303030303030305</v>
      </c>
      <c r="W81" s="80"/>
      <c r="X81" s="23"/>
    </row>
    <row r="82" spans="1:24" x14ac:dyDescent="0.3">
      <c r="A82">
        <v>67</v>
      </c>
      <c r="D82">
        <f t="shared" si="14"/>
        <v>3.3105977682999896E-5</v>
      </c>
      <c r="E82" s="80"/>
      <c r="F82" s="9">
        <f t="shared" si="15"/>
        <v>3.2941271326368054E-6</v>
      </c>
      <c r="G82" s="80"/>
      <c r="H82" s="9">
        <f t="shared" si="16"/>
        <v>2.2070651788666596E-4</v>
      </c>
      <c r="I82" s="80"/>
      <c r="J82" s="80"/>
      <c r="K82" s="43"/>
      <c r="L82" s="9">
        <f t="shared" si="17"/>
        <v>3.0964795046785972E-3</v>
      </c>
      <c r="M82" s="9"/>
      <c r="N82" s="80"/>
      <c r="O82" s="43"/>
      <c r="P82">
        <v>67</v>
      </c>
      <c r="Q82">
        <f t="shared" si="18"/>
        <v>136</v>
      </c>
      <c r="R82" s="22"/>
      <c r="S82" s="23">
        <f t="shared" si="19"/>
        <v>1.4925373134328358E-2</v>
      </c>
      <c r="V82">
        <f t="shared" si="20"/>
        <v>29.850746268656717</v>
      </c>
      <c r="W82" s="80"/>
      <c r="X82" s="23"/>
    </row>
    <row r="83" spans="1:24" x14ac:dyDescent="0.3">
      <c r="A83">
        <v>68</v>
      </c>
      <c r="D83">
        <f t="shared" si="14"/>
        <v>2.8560082239961102E-5</v>
      </c>
      <c r="E83" s="80"/>
      <c r="F83" s="9">
        <f t="shared" si="15"/>
        <v>2.800008062741284E-6</v>
      </c>
      <c r="G83" s="80"/>
      <c r="H83" s="9">
        <f t="shared" si="16"/>
        <v>1.9040054826640731E-4</v>
      </c>
      <c r="I83" s="80"/>
      <c r="J83" s="80"/>
      <c r="K83" s="43"/>
      <c r="L83" s="9">
        <f t="shared" si="17"/>
        <v>2.6712076918551848E-3</v>
      </c>
      <c r="M83" s="9"/>
      <c r="N83" s="80"/>
      <c r="O83" s="43"/>
      <c r="P83">
        <v>68</v>
      </c>
      <c r="Q83">
        <f t="shared" si="18"/>
        <v>138</v>
      </c>
      <c r="R83" s="22"/>
      <c r="S83" s="23">
        <f t="shared" si="19"/>
        <v>1.4705882352941176E-2</v>
      </c>
      <c r="V83">
        <f t="shared" si="20"/>
        <v>29.411764705882351</v>
      </c>
      <c r="W83" s="80"/>
      <c r="X83" s="23"/>
    </row>
    <row r="84" spans="1:24" x14ac:dyDescent="0.3">
      <c r="A84">
        <v>69</v>
      </c>
      <c r="D84">
        <f t="shared" si="14"/>
        <v>2.4633070931966446E-5</v>
      </c>
      <c r="E84" s="80"/>
      <c r="F84" s="9">
        <f t="shared" si="15"/>
        <v>2.3800068533300911E-6</v>
      </c>
      <c r="G84" s="80"/>
      <c r="H84" s="9">
        <f t="shared" si="16"/>
        <v>1.6422047287977629E-4</v>
      </c>
      <c r="I84" s="80"/>
      <c r="J84" s="80"/>
      <c r="K84" s="43"/>
      <c r="L84" s="9">
        <f t="shared" si="17"/>
        <v>2.3038466340235281E-3</v>
      </c>
      <c r="M84" s="9"/>
      <c r="N84" s="80"/>
      <c r="O84" s="43"/>
      <c r="P84">
        <v>69</v>
      </c>
      <c r="Q84">
        <f t="shared" si="18"/>
        <v>140</v>
      </c>
      <c r="R84" s="22"/>
      <c r="S84" s="23">
        <f t="shared" si="19"/>
        <v>1.4492753623188406E-2</v>
      </c>
      <c r="V84">
        <f t="shared" si="20"/>
        <v>28.985507246376812</v>
      </c>
      <c r="W84" s="80"/>
      <c r="X84" s="23"/>
    </row>
    <row r="85" spans="1:24" x14ac:dyDescent="0.3">
      <c r="A85">
        <v>70</v>
      </c>
      <c r="D85">
        <f t="shared" si="14"/>
        <v>2.1241561165971068E-5</v>
      </c>
      <c r="E85" s="80"/>
      <c r="F85" s="9">
        <f t="shared" si="15"/>
        <v>2.0230058253305777E-6</v>
      </c>
      <c r="G85" s="80"/>
      <c r="H85" s="9">
        <f t="shared" si="16"/>
        <v>1.4161040777314044E-4</v>
      </c>
      <c r="I85" s="80"/>
      <c r="J85" s="80"/>
      <c r="K85" s="43"/>
      <c r="L85" s="9">
        <f t="shared" si="17"/>
        <v>1.9865917204746272E-3</v>
      </c>
      <c r="M85" s="9"/>
      <c r="N85" s="80"/>
      <c r="O85" s="43"/>
      <c r="P85">
        <v>70</v>
      </c>
      <c r="Q85">
        <f t="shared" si="18"/>
        <v>142</v>
      </c>
      <c r="R85" s="22"/>
      <c r="S85" s="23">
        <f t="shared" si="19"/>
        <v>1.4285714285714285E-2</v>
      </c>
      <c r="V85">
        <f t="shared" si="20"/>
        <v>28.571428571428573</v>
      </c>
      <c r="W85" s="80"/>
      <c r="X85" s="23"/>
    </row>
    <row r="86" spans="1:24" x14ac:dyDescent="0.3">
      <c r="A86">
        <v>71</v>
      </c>
      <c r="D86">
        <f t="shared" si="14"/>
        <v>1.8313260233805055E-5</v>
      </c>
      <c r="E86" s="80"/>
      <c r="F86" s="9">
        <f t="shared" si="15"/>
        <v>1.7195549515309907E-6</v>
      </c>
      <c r="G86" s="80"/>
      <c r="H86" s="9">
        <f t="shared" si="16"/>
        <v>1.2208840155870034E-4</v>
      </c>
      <c r="I86" s="80"/>
      <c r="J86" s="80"/>
      <c r="K86" s="43"/>
      <c r="L86" s="9">
        <f t="shared" si="17"/>
        <v>1.7126767317248667E-3</v>
      </c>
      <c r="M86" s="9"/>
      <c r="N86" s="80"/>
      <c r="O86" s="43"/>
      <c r="P86">
        <v>71</v>
      </c>
      <c r="Q86">
        <f t="shared" si="18"/>
        <v>144</v>
      </c>
      <c r="R86" s="22"/>
      <c r="S86" s="23">
        <f t="shared" si="19"/>
        <v>1.4084507042253521E-2</v>
      </c>
      <c r="V86">
        <f t="shared" si="20"/>
        <v>28.169014084507044</v>
      </c>
      <c r="W86" s="80"/>
      <c r="X86" s="23"/>
    </row>
    <row r="87" spans="1:24" x14ac:dyDescent="0.3">
      <c r="A87">
        <v>72</v>
      </c>
      <c r="D87">
        <f t="shared" si="14"/>
        <v>1.5785514455054497E-5</v>
      </c>
      <c r="E87" s="80"/>
      <c r="F87" s="9">
        <f t="shared" si="15"/>
        <v>1.4616217088013422E-6</v>
      </c>
      <c r="G87" s="80"/>
      <c r="H87" s="9">
        <f t="shared" si="16"/>
        <v>1.0523676303369663E-4</v>
      </c>
      <c r="I87" s="80"/>
      <c r="J87" s="80"/>
      <c r="K87" s="43"/>
      <c r="L87" s="9">
        <f t="shared" si="17"/>
        <v>1.4762379258893557E-3</v>
      </c>
      <c r="M87" s="9"/>
      <c r="N87" s="80"/>
      <c r="O87" s="43"/>
      <c r="P87">
        <v>72</v>
      </c>
      <c r="Q87">
        <f t="shared" si="18"/>
        <v>146</v>
      </c>
      <c r="R87" s="22"/>
      <c r="S87" s="23">
        <f t="shared" si="19"/>
        <v>1.3888888888888888E-2</v>
      </c>
      <c r="V87">
        <f t="shared" si="20"/>
        <v>27.777777777777779</v>
      </c>
      <c r="W87" s="80"/>
      <c r="X87" s="23"/>
    </row>
    <row r="88" spans="1:24" x14ac:dyDescent="0.3">
      <c r="A88">
        <v>73</v>
      </c>
      <c r="D88">
        <f t="shared" si="14"/>
        <v>1.3604044054668495E-5</v>
      </c>
      <c r="E88" s="80"/>
      <c r="F88" s="9">
        <f t="shared" si="15"/>
        <v>1.2423784524811409E-6</v>
      </c>
      <c r="G88" s="80"/>
      <c r="H88" s="9">
        <f t="shared" si="16"/>
        <v>9.0693627031123279E-5</v>
      </c>
      <c r="I88" s="80"/>
      <c r="J88" s="80"/>
      <c r="K88" s="43"/>
      <c r="L88" s="9">
        <f t="shared" si="17"/>
        <v>1.2721955353406883E-3</v>
      </c>
      <c r="M88" s="9"/>
      <c r="N88" s="80"/>
      <c r="O88" s="43"/>
      <c r="P88">
        <v>73</v>
      </c>
      <c r="Q88">
        <f t="shared" si="18"/>
        <v>148</v>
      </c>
      <c r="R88" s="22"/>
      <c r="S88" s="23">
        <f t="shared" si="19"/>
        <v>1.3698630136986301E-2</v>
      </c>
      <c r="V88">
        <f t="shared" si="20"/>
        <v>27.397260273972602</v>
      </c>
      <c r="W88" s="80"/>
      <c r="X88" s="23"/>
    </row>
    <row r="89" spans="1:24" x14ac:dyDescent="0.3">
      <c r="A89">
        <v>74</v>
      </c>
      <c r="D89">
        <f t="shared" si="14"/>
        <v>1.1721840699159566E-5</v>
      </c>
      <c r="E89" s="80"/>
      <c r="F89" s="9">
        <f t="shared" si="15"/>
        <v>1.0560216846089697E-6</v>
      </c>
      <c r="G89" s="80"/>
      <c r="H89" s="9">
        <f t="shared" si="16"/>
        <v>7.8145604661063764E-5</v>
      </c>
      <c r="I89" s="80"/>
      <c r="J89" s="80"/>
      <c r="K89" s="43"/>
      <c r="L89" s="9">
        <f t="shared" si="17"/>
        <v>1.0961505086241107E-3</v>
      </c>
      <c r="M89" s="9"/>
      <c r="N89" s="80"/>
      <c r="O89" s="43"/>
      <c r="P89">
        <v>74</v>
      </c>
      <c r="Q89">
        <f t="shared" si="18"/>
        <v>150</v>
      </c>
      <c r="R89" s="22"/>
      <c r="S89" s="23">
        <f t="shared" si="19"/>
        <v>1.3513513513513514E-2</v>
      </c>
      <c r="V89">
        <f t="shared" si="20"/>
        <v>27.027027027027028</v>
      </c>
      <c r="W89" s="80"/>
      <c r="X89" s="23"/>
    </row>
    <row r="90" spans="1:24" x14ac:dyDescent="0.3">
      <c r="A90">
        <v>75</v>
      </c>
      <c r="D90">
        <f t="shared" si="14"/>
        <v>1.0098207359073274E-5</v>
      </c>
      <c r="E90" s="80"/>
      <c r="F90" s="9">
        <f t="shared" si="15"/>
        <v>8.9761843191762418E-7</v>
      </c>
      <c r="G90" s="80"/>
      <c r="H90" s="9">
        <f t="shared" si="16"/>
        <v>6.7321382393821809E-5</v>
      </c>
      <c r="I90" s="80"/>
      <c r="J90" s="80"/>
      <c r="K90" s="43"/>
      <c r="L90" s="9">
        <f t="shared" si="17"/>
        <v>9.4429459037734069E-4</v>
      </c>
      <c r="M90" s="9"/>
      <c r="N90" s="80"/>
      <c r="O90" s="43"/>
      <c r="P90">
        <v>75</v>
      </c>
      <c r="Q90">
        <f t="shared" si="18"/>
        <v>152</v>
      </c>
      <c r="R90" s="22"/>
      <c r="S90" s="23">
        <f t="shared" si="19"/>
        <v>1.3333333333333334E-2</v>
      </c>
      <c r="V90">
        <f t="shared" si="20"/>
        <v>26.666666666666668</v>
      </c>
      <c r="W90" s="80"/>
      <c r="X90" s="23"/>
    </row>
    <row r="91" spans="1:24" x14ac:dyDescent="0.3">
      <c r="A91">
        <v>76</v>
      </c>
      <c r="D91">
        <f t="shared" si="14"/>
        <v>8.6979226052817773E-6</v>
      </c>
      <c r="E91" s="80"/>
      <c r="F91" s="9">
        <f t="shared" si="15"/>
        <v>7.6297566712998046E-7</v>
      </c>
      <c r="G91" s="80"/>
      <c r="H91" s="9">
        <f t="shared" si="16"/>
        <v>5.7986150701878518E-5</v>
      </c>
      <c r="I91" s="80"/>
      <c r="J91" s="80"/>
      <c r="K91" s="43"/>
      <c r="L91" s="9">
        <f t="shared" si="17"/>
        <v>8.133320611605592E-4</v>
      </c>
      <c r="M91" s="9"/>
      <c r="N91" s="80"/>
      <c r="O91" s="43"/>
      <c r="P91">
        <v>76</v>
      </c>
      <c r="Q91">
        <f t="shared" si="18"/>
        <v>154</v>
      </c>
      <c r="R91" s="22"/>
      <c r="S91" s="23">
        <f t="shared" si="19"/>
        <v>1.3157894736842105E-2</v>
      </c>
      <c r="V91">
        <f t="shared" si="20"/>
        <v>26.315789473684209</v>
      </c>
      <c r="W91" s="80"/>
      <c r="X91" s="23"/>
    </row>
    <row r="92" spans="1:24" x14ac:dyDescent="0.3">
      <c r="A92">
        <v>77</v>
      </c>
      <c r="D92">
        <f t="shared" si="14"/>
        <v>7.4905136120485845E-6</v>
      </c>
      <c r="E92" s="80"/>
      <c r="F92" s="9">
        <f t="shared" si="15"/>
        <v>6.4852931706048351E-7</v>
      </c>
      <c r="G92" s="80"/>
      <c r="H92" s="9">
        <f t="shared" si="16"/>
        <v>4.9936757413657229E-5</v>
      </c>
      <c r="I92" s="80"/>
      <c r="J92" s="80"/>
      <c r="K92" s="43"/>
      <c r="L92" s="9">
        <f t="shared" si="17"/>
        <v>7.0041166242532224E-4</v>
      </c>
      <c r="M92" s="9"/>
      <c r="N92" s="80"/>
      <c r="O92" s="43"/>
      <c r="P92">
        <v>77</v>
      </c>
      <c r="Q92">
        <f t="shared" si="18"/>
        <v>156</v>
      </c>
      <c r="R92" s="22"/>
      <c r="S92" s="23">
        <f t="shared" si="19"/>
        <v>1.2987012987012988E-2</v>
      </c>
      <c r="V92">
        <f t="shared" si="20"/>
        <v>25.974025974025974</v>
      </c>
      <c r="W92" s="80"/>
      <c r="X92" s="23"/>
    </row>
    <row r="93" spans="1:24" x14ac:dyDescent="0.3">
      <c r="A93">
        <v>78</v>
      </c>
      <c r="D93">
        <f t="shared" si="14"/>
        <v>6.4496240581665079E-6</v>
      </c>
      <c r="E93" s="80"/>
      <c r="F93" s="9">
        <f t="shared" si="15"/>
        <v>5.5124991950141083E-7</v>
      </c>
      <c r="G93" s="80"/>
      <c r="H93" s="9">
        <f t="shared" si="16"/>
        <v>4.2997493721110045E-5</v>
      </c>
      <c r="I93" s="80"/>
      <c r="J93" s="80"/>
      <c r="K93" s="43"/>
      <c r="L93" s="9">
        <f t="shared" si="17"/>
        <v>6.0306741193454343E-4</v>
      </c>
      <c r="M93" s="9"/>
      <c r="N93" s="80"/>
      <c r="O93" s="43"/>
      <c r="P93">
        <v>78</v>
      </c>
      <c r="Q93">
        <f t="shared" si="18"/>
        <v>158</v>
      </c>
      <c r="R93" s="22"/>
      <c r="S93" s="23">
        <f t="shared" si="19"/>
        <v>1.282051282051282E-2</v>
      </c>
      <c r="V93">
        <f t="shared" si="20"/>
        <v>25.641025641025642</v>
      </c>
      <c r="W93" s="80"/>
      <c r="X93" s="23"/>
    </row>
    <row r="94" spans="1:24" x14ac:dyDescent="0.3">
      <c r="A94">
        <v>79</v>
      </c>
      <c r="D94">
        <f t="shared" si="14"/>
        <v>5.552464814177961E-6</v>
      </c>
      <c r="E94" s="80"/>
      <c r="F94" s="9">
        <f t="shared" si="15"/>
        <v>4.6856243157619918E-7</v>
      </c>
      <c r="G94" s="80"/>
      <c r="H94" s="9">
        <f t="shared" si="16"/>
        <v>3.7016432094519737E-5</v>
      </c>
      <c r="I94" s="80"/>
      <c r="J94" s="80"/>
      <c r="K94" s="43"/>
      <c r="L94" s="9">
        <f t="shared" si="17"/>
        <v>5.1916717418642869E-4</v>
      </c>
      <c r="M94" s="9"/>
      <c r="N94" s="80"/>
      <c r="O94" s="43"/>
      <c r="P94">
        <v>79</v>
      </c>
      <c r="Q94">
        <f t="shared" si="18"/>
        <v>160</v>
      </c>
      <c r="R94" s="22"/>
      <c r="S94" s="23">
        <f t="shared" si="19"/>
        <v>1.2658227848101266E-2</v>
      </c>
      <c r="V94">
        <f t="shared" si="20"/>
        <v>25.316455696202532</v>
      </c>
      <c r="W94" s="80"/>
      <c r="X94" s="23"/>
    </row>
    <row r="95" spans="1:24" x14ac:dyDescent="0.3">
      <c r="A95">
        <v>80</v>
      </c>
      <c r="D95">
        <f t="shared" si="14"/>
        <v>4.7793368020772312E-6</v>
      </c>
      <c r="E95" s="80"/>
      <c r="F95" s="9">
        <f t="shared" si="15"/>
        <v>3.9827806683976923E-7</v>
      </c>
      <c r="G95" s="80"/>
      <c r="H95" s="9">
        <f t="shared" si="16"/>
        <v>3.1862245347181537E-5</v>
      </c>
      <c r="I95" s="80"/>
      <c r="J95" s="80"/>
      <c r="K95" s="43"/>
      <c r="L95" s="9">
        <f t="shared" si="17"/>
        <v>4.4686799099422108E-4</v>
      </c>
      <c r="M95" s="9"/>
      <c r="N95" s="80"/>
      <c r="O95" s="43"/>
      <c r="P95">
        <v>80</v>
      </c>
      <c r="Q95">
        <f t="shared" si="18"/>
        <v>162</v>
      </c>
      <c r="R95" s="22"/>
      <c r="S95" s="23">
        <f t="shared" si="19"/>
        <v>1.2500000000000001E-2</v>
      </c>
      <c r="V95">
        <f t="shared" si="20"/>
        <v>25</v>
      </c>
      <c r="W95" s="80"/>
      <c r="X95" s="23"/>
    </row>
    <row r="96" spans="1:24" x14ac:dyDescent="0.3">
      <c r="A96">
        <v>81</v>
      </c>
      <c r="D96">
        <f t="shared" si="14"/>
        <v>4.1132167352877186E-6</v>
      </c>
      <c r="E96" s="80"/>
      <c r="F96" s="9">
        <f t="shared" si="15"/>
        <v>3.3853635681380393E-7</v>
      </c>
      <c r="G96" s="80"/>
      <c r="H96" s="9">
        <f t="shared" si="16"/>
        <v>2.7421444901918119E-5</v>
      </c>
      <c r="I96" s="80"/>
      <c r="J96" s="80"/>
      <c r="K96" s="43"/>
      <c r="L96" s="9">
        <f t="shared" si="17"/>
        <v>3.8457730134048126E-4</v>
      </c>
      <c r="M96" s="9"/>
      <c r="N96" s="80"/>
      <c r="O96" s="43"/>
      <c r="P96">
        <v>81</v>
      </c>
      <c r="Q96">
        <f t="shared" si="18"/>
        <v>164</v>
      </c>
      <c r="R96" s="22"/>
      <c r="S96" s="23">
        <f t="shared" si="19"/>
        <v>1.2345679012345678E-2</v>
      </c>
      <c r="V96">
        <f t="shared" si="20"/>
        <v>24.691358024691358</v>
      </c>
      <c r="W96" s="80"/>
      <c r="X96" s="23"/>
    </row>
    <row r="97" spans="1:24" x14ac:dyDescent="0.3">
      <c r="A97">
        <v>82</v>
      </c>
      <c r="D97">
        <f t="shared" si="14"/>
        <v>3.53939761048832E-6</v>
      </c>
      <c r="E97" s="80"/>
      <c r="F97" s="9">
        <f t="shared" si="15"/>
        <v>2.8775590329173328E-7</v>
      </c>
      <c r="G97" s="80"/>
      <c r="H97" s="9">
        <f t="shared" si="16"/>
        <v>2.3595984069922128E-5</v>
      </c>
      <c r="I97" s="80"/>
      <c r="J97" s="80"/>
      <c r="K97" s="43"/>
      <c r="L97" s="9">
        <f t="shared" si="17"/>
        <v>3.3091928878549329E-4</v>
      </c>
      <c r="M97" s="9"/>
      <c r="N97" s="80"/>
      <c r="O97" s="43"/>
      <c r="P97">
        <v>82</v>
      </c>
      <c r="Q97">
        <f t="shared" si="18"/>
        <v>166</v>
      </c>
      <c r="R97" s="22"/>
      <c r="S97" s="23">
        <f t="shared" si="19"/>
        <v>1.2195121951219513E-2</v>
      </c>
      <c r="V97">
        <f t="shared" si="20"/>
        <v>24.390243902439025</v>
      </c>
      <c r="W97" s="80"/>
      <c r="X97" s="23"/>
    </row>
    <row r="98" spans="1:24" x14ac:dyDescent="0.3">
      <c r="A98">
        <v>83</v>
      </c>
      <c r="D98">
        <f t="shared" si="14"/>
        <v>3.0451768465847684E-6</v>
      </c>
      <c r="E98" s="80"/>
      <c r="F98" s="9">
        <f t="shared" si="15"/>
        <v>2.4459251779797335E-7</v>
      </c>
      <c r="G98" s="80"/>
      <c r="H98" s="9">
        <f t="shared" si="16"/>
        <v>2.0301178977231789E-5</v>
      </c>
      <c r="I98" s="80"/>
      <c r="J98" s="80"/>
      <c r="K98" s="43"/>
      <c r="L98" s="9">
        <f t="shared" si="17"/>
        <v>2.8470569071684099E-4</v>
      </c>
      <c r="M98" s="9"/>
      <c r="N98" s="80"/>
      <c r="O98" s="43"/>
      <c r="P98">
        <v>83</v>
      </c>
      <c r="Q98">
        <f t="shared" si="18"/>
        <v>168</v>
      </c>
      <c r="R98" s="22"/>
      <c r="S98" s="23">
        <f t="shared" si="19"/>
        <v>1.2048192771084338E-2</v>
      </c>
      <c r="V98">
        <f t="shared" si="20"/>
        <v>24.096385542168676</v>
      </c>
      <c r="W98" s="80"/>
      <c r="X98" s="23"/>
    </row>
    <row r="99" spans="1:24" x14ac:dyDescent="0.3">
      <c r="A99">
        <v>84</v>
      </c>
      <c r="D99">
        <f t="shared" si="14"/>
        <v>2.6195858656162946E-6</v>
      </c>
      <c r="E99" s="80"/>
      <c r="F99" s="9">
        <f t="shared" si="15"/>
        <v>2.0790364012827731E-7</v>
      </c>
      <c r="G99" s="80"/>
      <c r="H99" s="9">
        <f t="shared" si="16"/>
        <v>1.7463905770775294E-5</v>
      </c>
      <c r="I99" s="80"/>
      <c r="J99" s="80"/>
      <c r="K99" s="43"/>
      <c r="L99" s="9">
        <f t="shared" si="17"/>
        <v>2.4491048807111069E-4</v>
      </c>
      <c r="M99" s="9"/>
      <c r="N99" s="80"/>
      <c r="O99" s="43"/>
      <c r="P99">
        <v>84</v>
      </c>
      <c r="Q99">
        <f t="shared" si="18"/>
        <v>170</v>
      </c>
      <c r="R99" s="22"/>
      <c r="S99" s="23">
        <f t="shared" si="19"/>
        <v>1.1904761904761904E-2</v>
      </c>
      <c r="V99">
        <f t="shared" si="20"/>
        <v>23.80952380952381</v>
      </c>
      <c r="W99" s="80"/>
      <c r="X99" s="23"/>
    </row>
    <row r="100" spans="1:24" x14ac:dyDescent="0.3">
      <c r="A100">
        <v>85</v>
      </c>
      <c r="D100">
        <f t="shared" si="14"/>
        <v>2.2531556998902056E-6</v>
      </c>
      <c r="E100" s="80"/>
      <c r="F100" s="9">
        <f t="shared" si="15"/>
        <v>1.7671809410903572E-7</v>
      </c>
      <c r="G100" s="80"/>
      <c r="H100" s="9">
        <f t="shared" si="16"/>
        <v>1.5021037999268036E-5</v>
      </c>
      <c r="I100" s="80"/>
      <c r="J100" s="80"/>
      <c r="K100" s="43"/>
      <c r="L100" s="9">
        <f t="shared" si="17"/>
        <v>2.1064796817797058E-4</v>
      </c>
      <c r="M100" s="9"/>
      <c r="N100" s="80"/>
      <c r="O100" s="43"/>
      <c r="P100">
        <v>85</v>
      </c>
      <c r="Q100">
        <f t="shared" si="18"/>
        <v>172</v>
      </c>
      <c r="R100" s="22"/>
      <c r="S100" s="23">
        <f t="shared" si="19"/>
        <v>1.1764705882352941E-2</v>
      </c>
      <c r="V100">
        <f t="shared" si="20"/>
        <v>23.529411764705884</v>
      </c>
      <c r="W100" s="80"/>
      <c r="X100" s="23"/>
    </row>
    <row r="101" spans="1:24" x14ac:dyDescent="0.3">
      <c r="A101">
        <v>86</v>
      </c>
      <c r="D101">
        <f t="shared" si="14"/>
        <v>1.9377139019055769E-6</v>
      </c>
      <c r="E101" s="80"/>
      <c r="F101" s="9">
        <f t="shared" si="15"/>
        <v>1.5021037999268036E-7</v>
      </c>
      <c r="G101" s="80"/>
      <c r="H101" s="9">
        <f t="shared" si="16"/>
        <v>1.2918092679370511E-5</v>
      </c>
      <c r="I101" s="80"/>
      <c r="J101" s="80"/>
      <c r="K101" s="43"/>
      <c r="L101" s="9">
        <f t="shared" si="17"/>
        <v>1.8115371827117253E-4</v>
      </c>
      <c r="M101" s="9"/>
      <c r="N101" s="80"/>
      <c r="O101" s="43"/>
      <c r="P101">
        <v>86</v>
      </c>
      <c r="Q101">
        <f t="shared" si="18"/>
        <v>174</v>
      </c>
      <c r="R101" s="22"/>
      <c r="S101" s="23">
        <f t="shared" si="19"/>
        <v>1.1627906976744186E-2</v>
      </c>
      <c r="V101">
        <f t="shared" si="20"/>
        <v>23.255813953488371</v>
      </c>
      <c r="W101" s="80"/>
      <c r="X101" s="23"/>
    </row>
    <row r="102" spans="1:24" x14ac:dyDescent="0.3">
      <c r="A102">
        <v>87</v>
      </c>
      <c r="D102">
        <f t="shared" si="14"/>
        <v>1.6662086400688066E-6</v>
      </c>
      <c r="E102" s="80"/>
      <c r="F102" s="9">
        <f t="shared" si="15"/>
        <v>1.2767882299377829E-7</v>
      </c>
      <c r="G102" s="80"/>
      <c r="H102" s="9">
        <f t="shared" si="16"/>
        <v>1.1108057600458711E-5</v>
      </c>
      <c r="I102" s="80"/>
      <c r="J102" s="80"/>
      <c r="K102" s="43"/>
      <c r="L102" s="9">
        <f t="shared" si="17"/>
        <v>1.5576816405240952E-4</v>
      </c>
      <c r="M102" s="9"/>
      <c r="N102" s="80"/>
      <c r="O102" s="43"/>
      <c r="P102">
        <v>87</v>
      </c>
      <c r="Q102">
        <f t="shared" si="18"/>
        <v>176</v>
      </c>
      <c r="R102" s="22"/>
      <c r="S102" s="23">
        <f t="shared" si="19"/>
        <v>1.1494252873563218E-2</v>
      </c>
      <c r="V102">
        <f t="shared" si="20"/>
        <v>22.988505747126435</v>
      </c>
      <c r="W102" s="80"/>
      <c r="X102" s="23"/>
    </row>
    <row r="103" spans="1:24" x14ac:dyDescent="0.3">
      <c r="A103">
        <v>88</v>
      </c>
      <c r="D103">
        <f t="shared" si="14"/>
        <v>1.4325563939901923E-6</v>
      </c>
      <c r="E103" s="80"/>
      <c r="F103" s="9">
        <f t="shared" si="15"/>
        <v>1.0852699954471152E-7</v>
      </c>
      <c r="G103" s="80"/>
      <c r="H103" s="9">
        <f t="shared" si="16"/>
        <v>9.5503759599346134E-6</v>
      </c>
      <c r="I103" s="80"/>
      <c r="J103" s="80"/>
      <c r="K103" s="43"/>
      <c r="L103" s="9">
        <f t="shared" si="17"/>
        <v>1.3392231743817402E-4</v>
      </c>
      <c r="M103" s="9"/>
      <c r="N103" s="80"/>
      <c r="O103" s="43"/>
      <c r="P103">
        <v>88</v>
      </c>
      <c r="Q103">
        <f t="shared" si="18"/>
        <v>178</v>
      </c>
      <c r="R103" s="22"/>
      <c r="S103" s="23">
        <f t="shared" si="19"/>
        <v>1.1363636363636364E-2</v>
      </c>
      <c r="V103">
        <f t="shared" si="20"/>
        <v>22.727272727272727</v>
      </c>
      <c r="W103" s="80"/>
      <c r="X103" s="23"/>
    </row>
    <row r="104" spans="1:24" x14ac:dyDescent="0.3">
      <c r="A104">
        <v>89</v>
      </c>
      <c r="D104">
        <f t="shared" si="14"/>
        <v>1.2315101273336143E-6</v>
      </c>
      <c r="E104" s="80"/>
      <c r="F104" s="9">
        <f t="shared" si="15"/>
        <v>9.2247949613004805E-8</v>
      </c>
      <c r="G104" s="80"/>
      <c r="H104" s="9">
        <f t="shared" si="16"/>
        <v>8.2100675155574277E-6</v>
      </c>
      <c r="I104" s="80"/>
      <c r="J104" s="80"/>
      <c r="K104" s="43"/>
      <c r="L104" s="9">
        <f t="shared" si="17"/>
        <v>1.1512544111702999E-4</v>
      </c>
      <c r="M104" s="9"/>
      <c r="N104" s="80"/>
      <c r="O104" s="43"/>
      <c r="P104">
        <v>89</v>
      </c>
      <c r="Q104">
        <f t="shared" si="18"/>
        <v>180</v>
      </c>
      <c r="R104" s="22"/>
      <c r="S104" s="23">
        <f t="shared" si="19"/>
        <v>1.1235955056179775E-2</v>
      </c>
      <c r="V104">
        <f t="shared" si="20"/>
        <v>22.471910112359552</v>
      </c>
      <c r="W104" s="80"/>
      <c r="X104" s="23"/>
    </row>
    <row r="105" spans="1:24" x14ac:dyDescent="0.3">
      <c r="A105">
        <v>90</v>
      </c>
      <c r="D105">
        <f t="shared" si="14"/>
        <v>1.05854522180923E-6</v>
      </c>
      <c r="E105" s="80"/>
      <c r="F105" s="9">
        <f t="shared" si="15"/>
        <v>7.8410757171054074E-8</v>
      </c>
      <c r="G105" s="80"/>
      <c r="H105" s="9">
        <f t="shared" si="16"/>
        <v>7.0569681453948668E-6</v>
      </c>
      <c r="I105" s="80"/>
      <c r="J105" s="80"/>
      <c r="K105" s="43"/>
      <c r="L105" s="9">
        <f t="shared" si="17"/>
        <v>9.8954375549870243E-5</v>
      </c>
      <c r="M105" s="9"/>
      <c r="N105" s="80"/>
      <c r="O105" s="43"/>
      <c r="P105">
        <v>90</v>
      </c>
      <c r="Q105">
        <f t="shared" si="18"/>
        <v>182</v>
      </c>
      <c r="R105" s="22"/>
      <c r="S105" s="23">
        <f t="shared" si="19"/>
        <v>1.1111111111111112E-2</v>
      </c>
      <c r="V105">
        <f t="shared" si="20"/>
        <v>22.222222222222221</v>
      </c>
      <c r="W105" s="80"/>
      <c r="X105" s="23"/>
    </row>
    <row r="106" spans="1:24" x14ac:dyDescent="0.3">
      <c r="A106">
        <v>91</v>
      </c>
      <c r="D106">
        <f t="shared" si="14"/>
        <v>9.0976081007715506E-7</v>
      </c>
      <c r="E106" s="80"/>
      <c r="F106" s="9">
        <f t="shared" si="15"/>
        <v>6.6649143595395969E-8</v>
      </c>
      <c r="G106" s="80"/>
      <c r="H106" s="9">
        <f t="shared" si="16"/>
        <v>6.0650720671810331E-6</v>
      </c>
      <c r="I106" s="80"/>
      <c r="J106" s="80"/>
      <c r="K106" s="43"/>
      <c r="L106" s="9">
        <f t="shared" si="17"/>
        <v>8.5044307227725256E-5</v>
      </c>
      <c r="M106" s="9"/>
      <c r="N106" s="80"/>
      <c r="O106" s="43"/>
      <c r="P106">
        <v>91</v>
      </c>
      <c r="Q106">
        <f t="shared" si="18"/>
        <v>184</v>
      </c>
      <c r="R106" s="22"/>
      <c r="S106" s="23">
        <f t="shared" si="19"/>
        <v>1.098901098901099E-2</v>
      </c>
      <c r="V106">
        <f t="shared" si="20"/>
        <v>21.978021978021978</v>
      </c>
      <c r="W106" s="80"/>
      <c r="X106" s="23"/>
    </row>
    <row r="107" spans="1:24" x14ac:dyDescent="0.3">
      <c r="A107">
        <v>92</v>
      </c>
      <c r="D107">
        <f t="shared" si="14"/>
        <v>7.8179445437399477E-7</v>
      </c>
      <c r="E107" s="80"/>
      <c r="F107" s="9">
        <f t="shared" si="15"/>
        <v>5.6651772056086568E-8</v>
      </c>
      <c r="G107" s="80"/>
      <c r="H107" s="9">
        <f t="shared" si="16"/>
        <v>5.2119630291599646E-6</v>
      </c>
      <c r="I107" s="80"/>
      <c r="J107" s="80"/>
      <c r="K107" s="43"/>
      <c r="L107" s="9">
        <f t="shared" si="17"/>
        <v>7.3080785952351674E-5</v>
      </c>
      <c r="M107" s="9"/>
      <c r="N107" s="80"/>
      <c r="O107" s="43"/>
      <c r="P107">
        <v>92</v>
      </c>
      <c r="Q107">
        <f t="shared" si="18"/>
        <v>186</v>
      </c>
      <c r="R107" s="22"/>
      <c r="S107" s="23">
        <f t="shared" si="19"/>
        <v>1.0869565217391304E-2</v>
      </c>
      <c r="V107">
        <f t="shared" si="20"/>
        <v>21.739130434782609</v>
      </c>
      <c r="W107" s="80"/>
      <c r="X107" s="23"/>
    </row>
    <row r="108" spans="1:24" x14ac:dyDescent="0.3">
      <c r="A108">
        <v>93</v>
      </c>
      <c r="D108">
        <f t="shared" si="14"/>
        <v>6.7174838715504646E-7</v>
      </c>
      <c r="E108" s="80"/>
      <c r="F108" s="9">
        <f t="shared" si="15"/>
        <v>4.8154006247673576E-8</v>
      </c>
      <c r="G108" s="80"/>
      <c r="H108" s="9">
        <f t="shared" si="16"/>
        <v>4.4783225810336429E-6</v>
      </c>
      <c r="I108" s="80"/>
      <c r="J108" s="80"/>
      <c r="K108" s="43"/>
      <c r="L108" s="9">
        <f t="shared" si="17"/>
        <v>6.2792824146966347E-5</v>
      </c>
      <c r="M108" s="9"/>
      <c r="N108" s="80"/>
      <c r="O108" s="43"/>
      <c r="P108">
        <v>93</v>
      </c>
      <c r="Q108">
        <f t="shared" si="18"/>
        <v>188</v>
      </c>
      <c r="R108" s="22"/>
      <c r="S108" s="23">
        <f t="shared" si="19"/>
        <v>1.0752688172043012E-2</v>
      </c>
      <c r="V108">
        <f t="shared" si="20"/>
        <v>21.50537634408602</v>
      </c>
      <c r="W108" s="80"/>
      <c r="X108" s="23"/>
    </row>
    <row r="109" spans="1:24" x14ac:dyDescent="0.3">
      <c r="A109">
        <v>94</v>
      </c>
      <c r="D109">
        <f t="shared" si="14"/>
        <v>5.7712576487836789E-7</v>
      </c>
      <c r="E109" s="80"/>
      <c r="F109" s="9">
        <f t="shared" si="15"/>
        <v>4.0930905310522534E-8</v>
      </c>
      <c r="G109" s="80"/>
      <c r="H109" s="9">
        <f t="shared" si="16"/>
        <v>3.8475050991891179E-6</v>
      </c>
      <c r="I109" s="80"/>
      <c r="J109" s="80"/>
      <c r="K109" s="43"/>
      <c r="L109" s="9">
        <f t="shared" si="17"/>
        <v>5.3946933199268703E-5</v>
      </c>
      <c r="M109" s="9"/>
      <c r="N109" s="80"/>
      <c r="O109" s="43"/>
      <c r="P109">
        <v>94</v>
      </c>
      <c r="Q109">
        <f t="shared" si="18"/>
        <v>190</v>
      </c>
      <c r="R109" s="22"/>
      <c r="S109" s="23">
        <f t="shared" si="19"/>
        <v>1.0638297872340425E-2</v>
      </c>
      <c r="V109">
        <f t="shared" si="20"/>
        <v>21.276595744680851</v>
      </c>
      <c r="W109" s="80"/>
      <c r="X109" s="23"/>
    </row>
    <row r="110" spans="1:24" x14ac:dyDescent="0.3">
      <c r="A110">
        <v>95</v>
      </c>
      <c r="D110">
        <f t="shared" si="14"/>
        <v>4.9577559057370436E-7</v>
      </c>
      <c r="E110" s="80"/>
      <c r="F110" s="9">
        <f t="shared" si="15"/>
        <v>3.4791269513944163E-8</v>
      </c>
      <c r="G110" s="80"/>
      <c r="H110" s="9">
        <f t="shared" si="16"/>
        <v>3.3051706038246953E-6</v>
      </c>
      <c r="I110" s="80"/>
      <c r="J110" s="80"/>
      <c r="K110" s="43"/>
      <c r="L110" s="9">
        <f t="shared" si="17"/>
        <v>4.6341970992573627E-5</v>
      </c>
      <c r="M110" s="9"/>
      <c r="N110" s="80"/>
      <c r="O110" s="43"/>
      <c r="P110">
        <v>95</v>
      </c>
      <c r="Q110">
        <f t="shared" si="18"/>
        <v>192</v>
      </c>
      <c r="R110" s="22"/>
      <c r="S110" s="23">
        <f t="shared" si="19"/>
        <v>1.0526315789473684E-2</v>
      </c>
      <c r="V110">
        <f t="shared" si="20"/>
        <v>21.05263157894737</v>
      </c>
      <c r="W110" s="80"/>
      <c r="X110" s="23"/>
    </row>
    <row r="111" spans="1:24" x14ac:dyDescent="0.3">
      <c r="A111">
        <v>96</v>
      </c>
      <c r="D111">
        <f t="shared" si="14"/>
        <v>4.2584513885067647E-7</v>
      </c>
      <c r="E111" s="80"/>
      <c r="F111" s="9">
        <f t="shared" si="15"/>
        <v>2.9572579086852529E-8</v>
      </c>
      <c r="G111" s="80"/>
      <c r="H111" s="9">
        <f t="shared" si="16"/>
        <v>2.8389675923378429E-6</v>
      </c>
      <c r="I111" s="80"/>
      <c r="J111" s="80"/>
      <c r="K111" s="43"/>
      <c r="L111" s="9">
        <f t="shared" si="17"/>
        <v>3.9804691450903506E-5</v>
      </c>
      <c r="M111" s="9"/>
      <c r="N111" s="80"/>
      <c r="O111" s="43"/>
      <c r="P111">
        <v>96</v>
      </c>
      <c r="Q111">
        <f t="shared" si="18"/>
        <v>194</v>
      </c>
      <c r="R111" s="22"/>
      <c r="S111" s="23">
        <f t="shared" si="19"/>
        <v>1.0416666666666666E-2</v>
      </c>
      <c r="V111">
        <f t="shared" si="20"/>
        <v>20.833333333333332</v>
      </c>
      <c r="W111" s="80"/>
      <c r="X111" s="23"/>
    </row>
    <row r="112" spans="1:24" x14ac:dyDescent="0.3">
      <c r="A112">
        <v>97</v>
      </c>
      <c r="D112">
        <f t="shared" si="14"/>
        <v>3.6573887185664876E-7</v>
      </c>
      <c r="E112" s="80"/>
      <c r="F112" s="9">
        <f t="shared" si="15"/>
        <v>2.5136692223824654E-8</v>
      </c>
      <c r="G112" s="80"/>
      <c r="H112" s="9">
        <f t="shared" si="16"/>
        <v>2.4382591457109913E-6</v>
      </c>
      <c r="I112" s="80"/>
      <c r="J112" s="80"/>
      <c r="K112" s="43"/>
      <c r="L112" s="9">
        <f t="shared" si="17"/>
        <v>3.4185901424401532E-5</v>
      </c>
      <c r="M112" s="9"/>
      <c r="N112" s="80"/>
      <c r="O112" s="43"/>
      <c r="P112">
        <v>97</v>
      </c>
      <c r="Q112">
        <f t="shared" si="18"/>
        <v>196</v>
      </c>
      <c r="R112" s="22"/>
      <c r="S112" s="23">
        <f t="shared" si="19"/>
        <v>1.0309278350515464E-2</v>
      </c>
      <c r="V112">
        <f t="shared" si="20"/>
        <v>20.618556701030929</v>
      </c>
      <c r="W112" s="80"/>
      <c r="X112" s="23"/>
    </row>
    <row r="113" spans="1:24" x14ac:dyDescent="0.3">
      <c r="A113">
        <v>98</v>
      </c>
      <c r="D113">
        <f t="shared" si="14"/>
        <v>3.1408296933668907E-7</v>
      </c>
      <c r="E113" s="80"/>
      <c r="F113" s="9">
        <f t="shared" si="15"/>
        <v>2.1366188390250953E-8</v>
      </c>
      <c r="G113" s="80"/>
      <c r="H113" s="9">
        <f t="shared" si="16"/>
        <v>2.0938864622445933E-6</v>
      </c>
      <c r="I113" s="80"/>
      <c r="J113" s="80"/>
      <c r="K113" s="43"/>
      <c r="L113" s="9">
        <f t="shared" si="17"/>
        <v>2.9357142848204809E-5</v>
      </c>
      <c r="M113" s="9"/>
      <c r="N113" s="80"/>
      <c r="O113" s="43"/>
      <c r="P113">
        <v>98</v>
      </c>
      <c r="Q113">
        <f t="shared" si="18"/>
        <v>198</v>
      </c>
      <c r="R113" s="22"/>
      <c r="S113" s="23">
        <f t="shared" si="19"/>
        <v>1.020408163265306E-2</v>
      </c>
      <c r="V113">
        <f t="shared" si="20"/>
        <v>20.408163265306122</v>
      </c>
      <c r="W113" s="80"/>
      <c r="X113" s="23"/>
    </row>
    <row r="114" spans="1:24" x14ac:dyDescent="0.3">
      <c r="A114">
        <v>99</v>
      </c>
      <c r="D114">
        <f t="shared" si="14"/>
        <v>2.6969471295594272E-7</v>
      </c>
      <c r="E114" s="80"/>
      <c r="F114" s="9">
        <f t="shared" si="15"/>
        <v>1.8161260131713312E-8</v>
      </c>
      <c r="G114" s="80"/>
      <c r="H114" s="9">
        <f t="shared" si="16"/>
        <v>1.797964753039618E-6</v>
      </c>
      <c r="I114" s="80"/>
      <c r="J114" s="80"/>
      <c r="K114" s="43"/>
      <c r="L114" s="9">
        <f t="shared" si="17"/>
        <v>2.5207829062818076E-5</v>
      </c>
      <c r="M114" s="9"/>
      <c r="N114" s="80"/>
      <c r="O114" s="43"/>
      <c r="P114">
        <v>99</v>
      </c>
      <c r="Q114">
        <f t="shared" si="18"/>
        <v>200</v>
      </c>
      <c r="R114" s="22"/>
      <c r="S114" s="23">
        <f t="shared" si="19"/>
        <v>1.0101010101010102E-2</v>
      </c>
      <c r="V114">
        <f t="shared" si="20"/>
        <v>20.202020202020201</v>
      </c>
      <c r="W114" s="80"/>
      <c r="X114" s="23"/>
    </row>
    <row r="115" spans="1:24" x14ac:dyDescent="0.3">
      <c r="A115">
        <v>100</v>
      </c>
      <c r="D115">
        <f t="shared" si="14"/>
        <v>2.3155606667934471E-7</v>
      </c>
      <c r="E115" s="80"/>
      <c r="F115" s="9">
        <f t="shared" si="15"/>
        <v>1.5437071111956312E-8</v>
      </c>
      <c r="G115" s="80"/>
      <c r="H115" s="9">
        <f t="shared" si="16"/>
        <v>1.5437071111956312E-6</v>
      </c>
      <c r="I115" s="80"/>
      <c r="J115" s="80"/>
      <c r="K115" s="43"/>
      <c r="L115" s="9">
        <f t="shared" si="17"/>
        <v>2.164277369896275E-5</v>
      </c>
      <c r="M115" s="9"/>
      <c r="N115" s="80"/>
      <c r="O115" s="43"/>
      <c r="P115">
        <v>100</v>
      </c>
      <c r="Q115">
        <f t="shared" si="18"/>
        <v>202</v>
      </c>
      <c r="R115" s="38"/>
      <c r="S115" s="39">
        <f t="shared" si="19"/>
        <v>0.01</v>
      </c>
      <c r="V115">
        <f>$U$16/A115</f>
        <v>20</v>
      </c>
      <c r="W115" s="80"/>
      <c r="X115" s="23"/>
    </row>
    <row r="116" spans="1:24" x14ac:dyDescent="0.3">
      <c r="V116" s="81">
        <f>SUM(V16:V115)</f>
        <v>10374.75503527924</v>
      </c>
      <c r="W116" s="81"/>
      <c r="X116" s="23"/>
    </row>
    <row r="117" spans="1:24" x14ac:dyDescent="0.3">
      <c r="A117">
        <f>SUM(A16:A115)</f>
        <v>5050</v>
      </c>
      <c r="C117" s="2" t="s">
        <v>29</v>
      </c>
      <c r="D117">
        <f>SUM(D16:D115)</f>
        <v>0.99999860037221944</v>
      </c>
      <c r="F117" s="9">
        <f>SUM(F16:F115)</f>
        <v>0.9999999125232637</v>
      </c>
      <c r="H117" s="9">
        <f>SUM(H16:H115)</f>
        <v>6.6666573358147909</v>
      </c>
      <c r="L117" s="9">
        <f>SUM(L16:L115)</f>
        <v>95.333202526453618</v>
      </c>
      <c r="M117" s="9"/>
      <c r="N117" s="9"/>
      <c r="O117" s="9"/>
      <c r="S117">
        <f>SUM(S16:S115)</f>
        <v>5.1873775176396206</v>
      </c>
    </row>
  </sheetData>
  <mergeCells count="19">
    <mergeCell ref="N16:N23"/>
    <mergeCell ref="N24:N31"/>
    <mergeCell ref="N32:N115"/>
    <mergeCell ref="W24:W31"/>
    <mergeCell ref="W16:W23"/>
    <mergeCell ref="W32:W115"/>
    <mergeCell ref="V116:W116"/>
    <mergeCell ref="E16:E23"/>
    <mergeCell ref="E24:E31"/>
    <mergeCell ref="E32:E115"/>
    <mergeCell ref="G16:G23"/>
    <mergeCell ref="G24:G31"/>
    <mergeCell ref="G32:G115"/>
    <mergeCell ref="I16:I23"/>
    <mergeCell ref="I24:I31"/>
    <mergeCell ref="I32:I115"/>
    <mergeCell ref="J16:J23"/>
    <mergeCell ref="J24:J31"/>
    <mergeCell ref="J32:J115"/>
  </mergeCells>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F412C-4A8D-44F0-859F-6B0E76297BE2}">
  <dimension ref="A1:BK87"/>
  <sheetViews>
    <sheetView tabSelected="1" topLeftCell="AE29" zoomScale="70" zoomScaleNormal="70" workbookViewId="0">
      <selection activeCell="AT71" sqref="AT71"/>
    </sheetView>
  </sheetViews>
  <sheetFormatPr defaultRowHeight="14.4" x14ac:dyDescent="0.3"/>
  <cols>
    <col min="1" max="1" width="11.77734375" customWidth="1"/>
    <col min="2" max="2" width="20.109375" customWidth="1"/>
    <col min="3" max="3" width="12.88671875" customWidth="1"/>
    <col min="4" max="4" width="11.44140625" customWidth="1"/>
    <col min="5" max="5" width="10" customWidth="1"/>
    <col min="6" max="6" width="10.88671875" customWidth="1"/>
    <col min="7" max="7" width="11.88671875" customWidth="1"/>
    <col min="8" max="8" width="12" bestFit="1" customWidth="1"/>
    <col min="9" max="10" width="9.88671875" customWidth="1"/>
    <col min="11" max="11" width="9.21875" bestFit="1" customWidth="1"/>
    <col min="14" max="15" width="9" customWidth="1"/>
    <col min="22" max="22" width="10.44140625" customWidth="1"/>
    <col min="24" max="24" width="14.44140625" bestFit="1" customWidth="1"/>
    <col min="25" max="25" width="12" bestFit="1" customWidth="1"/>
    <col min="26" max="26" width="13.21875" bestFit="1" customWidth="1"/>
    <col min="28" max="28" width="10.5546875" customWidth="1"/>
    <col min="29" max="29" width="7" customWidth="1"/>
    <col min="30" max="30" width="12.5546875" customWidth="1"/>
    <col min="32" max="32" width="12" bestFit="1" customWidth="1"/>
    <col min="34" max="34" width="12.109375" customWidth="1"/>
    <col min="35" max="35" width="11" customWidth="1"/>
    <col min="36" max="36" width="13.6640625" customWidth="1"/>
    <col min="37" max="37" width="11.5546875" customWidth="1"/>
    <col min="39" max="39" width="13.44140625" customWidth="1"/>
    <col min="40" max="40" width="12.21875" customWidth="1"/>
    <col min="42" max="42" width="10.5546875" bestFit="1" customWidth="1"/>
    <col min="43" max="43" width="13.109375" customWidth="1"/>
    <col min="45" max="45" width="11.33203125" customWidth="1"/>
    <col min="46" max="46" width="12.88671875" customWidth="1"/>
    <col min="47" max="47" width="14.21875" customWidth="1"/>
    <col min="48" max="48" width="12.5546875" customWidth="1"/>
    <col min="51" max="51" width="13.21875" customWidth="1"/>
    <col min="53" max="53" width="13.21875" bestFit="1" customWidth="1"/>
    <col min="59" max="59" width="14.44140625" bestFit="1" customWidth="1"/>
    <col min="60" max="60" width="13.77734375" customWidth="1"/>
    <col min="61" max="61" width="12.6640625" customWidth="1"/>
    <col min="62" max="62" width="16" customWidth="1"/>
  </cols>
  <sheetData>
    <row r="1" spans="1:27" x14ac:dyDescent="0.3">
      <c r="A1" s="2" t="s">
        <v>214</v>
      </c>
    </row>
    <row r="2" spans="1:27" x14ac:dyDescent="0.3">
      <c r="B2" s="2" t="s">
        <v>75</v>
      </c>
    </row>
    <row r="3" spans="1:27" x14ac:dyDescent="0.3">
      <c r="B3" t="s">
        <v>89</v>
      </c>
      <c r="J3" s="2" t="s">
        <v>93</v>
      </c>
      <c r="N3" s="2" t="s">
        <v>91</v>
      </c>
      <c r="O3" s="2"/>
      <c r="Q3" s="2" t="s">
        <v>92</v>
      </c>
      <c r="X3" s="2" t="s">
        <v>94</v>
      </c>
    </row>
    <row r="4" spans="1:27" x14ac:dyDescent="0.3">
      <c r="B4" s="89" t="s">
        <v>95</v>
      </c>
      <c r="C4" s="89"/>
      <c r="D4" s="89"/>
      <c r="E4" s="89"/>
      <c r="F4" s="89"/>
      <c r="J4" s="2"/>
      <c r="N4" s="2"/>
      <c r="O4" s="2"/>
      <c r="Q4" s="2"/>
      <c r="X4" s="2"/>
    </row>
    <row r="5" spans="1:27" ht="28.8" x14ac:dyDescent="0.3">
      <c r="C5" s="2" t="s">
        <v>85</v>
      </c>
      <c r="D5" s="6" t="s">
        <v>86</v>
      </c>
      <c r="E5" s="2" t="s">
        <v>87</v>
      </c>
      <c r="F5" s="2" t="s">
        <v>88</v>
      </c>
    </row>
    <row r="6" spans="1:27" x14ac:dyDescent="0.3">
      <c r="B6" t="s">
        <v>76</v>
      </c>
      <c r="C6" t="s">
        <v>77</v>
      </c>
      <c r="D6">
        <v>44</v>
      </c>
      <c r="E6">
        <v>5619205811.4745798</v>
      </c>
      <c r="F6">
        <f>E6/D6</f>
        <v>127709222.98805863</v>
      </c>
    </row>
    <row r="7" spans="1:27" x14ac:dyDescent="0.3">
      <c r="B7" t="s">
        <v>78</v>
      </c>
      <c r="C7" t="s">
        <v>79</v>
      </c>
      <c r="D7">
        <v>18.010000000000002</v>
      </c>
      <c r="F7">
        <f>2.12*F6</f>
        <v>270743552.73468429</v>
      </c>
    </row>
    <row r="8" spans="1:27" x14ac:dyDescent="0.3">
      <c r="B8" t="s">
        <v>80</v>
      </c>
      <c r="C8" t="s">
        <v>81</v>
      </c>
      <c r="D8">
        <v>28.01</v>
      </c>
      <c r="F8">
        <f>1*F6</f>
        <v>127709222.98805863</v>
      </c>
    </row>
    <row r="9" spans="1:27" x14ac:dyDescent="0.3">
      <c r="B9" t="s">
        <v>82</v>
      </c>
      <c r="C9" t="s">
        <v>20</v>
      </c>
      <c r="D9">
        <v>2.0099999999999998</v>
      </c>
      <c r="F9">
        <f>2.12*F6</f>
        <v>270743552.73468429</v>
      </c>
      <c r="R9" s="16"/>
      <c r="S9" s="16"/>
      <c r="T9" s="16"/>
      <c r="U9" s="16"/>
      <c r="V9" s="18"/>
      <c r="Y9" s="16"/>
      <c r="Z9" s="18"/>
      <c r="AA9" s="18"/>
    </row>
    <row r="10" spans="1:27" x14ac:dyDescent="0.3">
      <c r="B10" t="s">
        <v>83</v>
      </c>
      <c r="C10" t="s">
        <v>84</v>
      </c>
      <c r="D10">
        <v>32</v>
      </c>
      <c r="F10">
        <f>1.56*F6</f>
        <v>199226387.86137146</v>
      </c>
      <c r="R10" s="16"/>
      <c r="S10" s="16"/>
      <c r="T10" s="16"/>
      <c r="U10" s="16"/>
      <c r="V10" s="18"/>
      <c r="Y10" s="16"/>
    </row>
    <row r="11" spans="1:27" x14ac:dyDescent="0.3">
      <c r="F11">
        <f>SUM(F6:F10)</f>
        <v>996131939.30685735</v>
      </c>
      <c r="R11" s="16"/>
      <c r="S11" s="16"/>
      <c r="T11" s="16"/>
      <c r="U11" s="16"/>
      <c r="V11" s="18"/>
      <c r="Y11" s="16"/>
      <c r="Z11" s="18"/>
      <c r="AA11" s="18"/>
    </row>
    <row r="12" spans="1:27" x14ac:dyDescent="0.3">
      <c r="R12" s="16"/>
      <c r="S12" s="16"/>
      <c r="T12" s="16"/>
      <c r="U12" s="16"/>
      <c r="Y12" s="16"/>
    </row>
    <row r="13" spans="1:27" ht="15" thickBot="1" x14ac:dyDescent="0.35">
      <c r="A13" s="21"/>
      <c r="B13" s="83" t="s">
        <v>96</v>
      </c>
      <c r="C13" s="108"/>
      <c r="D13" s="108"/>
      <c r="E13" s="104"/>
      <c r="F13" s="46"/>
      <c r="G13" s="89" t="s">
        <v>98</v>
      </c>
      <c r="H13" s="89"/>
      <c r="K13" s="89" t="s">
        <v>101</v>
      </c>
      <c r="L13" s="89"/>
      <c r="M13" s="89"/>
      <c r="N13" s="89"/>
      <c r="O13" s="89"/>
      <c r="Q13" s="89" t="s">
        <v>161</v>
      </c>
      <c r="R13" s="89"/>
      <c r="S13" s="89"/>
      <c r="T13" s="89"/>
      <c r="U13" s="89"/>
      <c r="V13" s="89" t="s">
        <v>160</v>
      </c>
      <c r="W13" s="89"/>
      <c r="X13" s="89"/>
      <c r="Y13" s="89"/>
    </row>
    <row r="14" spans="1:27" ht="15" thickBot="1" x14ac:dyDescent="0.35">
      <c r="A14" s="38"/>
      <c r="B14" s="25"/>
      <c r="C14" s="34" t="s">
        <v>90</v>
      </c>
      <c r="D14" s="25"/>
      <c r="E14" s="39"/>
      <c r="F14" s="39"/>
      <c r="J14" s="93" t="s">
        <v>129</v>
      </c>
      <c r="K14" s="94"/>
      <c r="L14" s="94"/>
      <c r="M14" s="94"/>
      <c r="N14" s="94"/>
      <c r="O14" s="94"/>
      <c r="P14" s="94"/>
      <c r="Q14" s="94"/>
      <c r="R14" s="94"/>
      <c r="S14" s="94"/>
      <c r="T14" s="94"/>
      <c r="U14" s="94"/>
      <c r="V14" s="94"/>
      <c r="W14" s="94"/>
      <c r="X14" s="94"/>
      <c r="Y14" s="95"/>
    </row>
    <row r="15" spans="1:27" ht="31.8" customHeight="1" x14ac:dyDescent="0.3">
      <c r="A15" s="22"/>
      <c r="B15" s="6"/>
      <c r="C15">
        <f>SUM(C16:C17)</f>
        <v>398452775.72274292</v>
      </c>
      <c r="D15" s="17" t="s">
        <v>65</v>
      </c>
      <c r="E15" s="2" t="s">
        <v>116</v>
      </c>
      <c r="F15" s="23"/>
      <c r="G15" s="19" t="s">
        <v>97</v>
      </c>
      <c r="H15" s="20">
        <f>C15*0.9</f>
        <v>358607498.15046865</v>
      </c>
      <c r="I15" s="20"/>
      <c r="K15" s="22"/>
      <c r="L15" s="2" t="s">
        <v>177</v>
      </c>
      <c r="M15" s="2" t="s">
        <v>65</v>
      </c>
      <c r="N15" s="2" t="s">
        <v>116</v>
      </c>
      <c r="O15" s="23"/>
      <c r="Q15" s="22"/>
      <c r="S15" s="2" t="s">
        <v>116</v>
      </c>
      <c r="T15" s="2"/>
      <c r="U15" s="51"/>
      <c r="V15" s="2"/>
      <c r="W15" s="22"/>
      <c r="Y15" s="2" t="s">
        <v>116</v>
      </c>
      <c r="Z15" s="46"/>
    </row>
    <row r="16" spans="1:27" ht="28.8" customHeight="1" x14ac:dyDescent="0.3">
      <c r="A16" s="109" t="s">
        <v>121</v>
      </c>
      <c r="B16" t="s">
        <v>77</v>
      </c>
      <c r="C16">
        <f>E6/D6</f>
        <v>127709222.98805863</v>
      </c>
      <c r="D16">
        <f>C16*D6</f>
        <v>5619205811.4745798</v>
      </c>
      <c r="E16" s="110">
        <f>SUM(C16:C17)/C23</f>
        <v>0.89919252421406315</v>
      </c>
      <c r="F16" s="23"/>
      <c r="G16" t="s">
        <v>99</v>
      </c>
      <c r="H16">
        <f>H15/3.12</f>
        <v>114938300.68925276</v>
      </c>
      <c r="K16" s="22" t="s">
        <v>102</v>
      </c>
      <c r="L16">
        <f>C16+(0.1*0.111*C16)-H16</f>
        <v>14188494.673973307</v>
      </c>
      <c r="M16">
        <f>L16*D6</f>
        <v>624293765.65482545</v>
      </c>
      <c r="N16" s="47">
        <f>L16/$L$20</f>
        <v>3.5218053960018141E-2</v>
      </c>
      <c r="O16" s="91">
        <f>SUM(N16:N17)</f>
        <v>0.1098803283552566</v>
      </c>
      <c r="P16" s="9"/>
      <c r="Q16" s="22" t="s">
        <v>107</v>
      </c>
      <c r="R16">
        <f>0.111*L16</f>
        <v>1574922.9088110372</v>
      </c>
      <c r="S16" s="47">
        <f>R16/$R$20</f>
        <v>3.5218053960018141E-2</v>
      </c>
      <c r="T16" s="106">
        <f>SUM(S16:S17)</f>
        <v>0.1098803283552566</v>
      </c>
      <c r="U16" s="111">
        <f>SUM(R16:R17)</f>
        <v>4913759.475490436</v>
      </c>
      <c r="V16" s="27"/>
      <c r="W16" s="22" t="s">
        <v>111</v>
      </c>
      <c r="X16">
        <f>L16-R16</f>
        <v>12613571.765162271</v>
      </c>
      <c r="Y16" s="47">
        <f>X16/$X$20</f>
        <v>3.5218053960018141E-2</v>
      </c>
      <c r="Z16" s="91">
        <f>SUM(Y16:Y17)</f>
        <v>0.1098803283552566</v>
      </c>
      <c r="AA16" s="44"/>
    </row>
    <row r="17" spans="1:63" x14ac:dyDescent="0.3">
      <c r="A17" s="109"/>
      <c r="B17" t="s">
        <v>79</v>
      </c>
      <c r="C17">
        <f>2.12*C16</f>
        <v>270743552.73468429</v>
      </c>
      <c r="D17">
        <f>C17*D7</f>
        <v>4876091384.7516642</v>
      </c>
      <c r="E17" s="110"/>
      <c r="F17" s="23"/>
      <c r="G17" t="s">
        <v>100</v>
      </c>
      <c r="H17">
        <f>2.12*H16</f>
        <v>243669197.46121588</v>
      </c>
      <c r="K17" s="22" t="s">
        <v>103</v>
      </c>
      <c r="L17">
        <f>C17+(0.1*0.111*C17)-H17</f>
        <v>30079608.708823413</v>
      </c>
      <c r="M17">
        <f t="shared" ref="M17:M19" si="0">L17*D7</f>
        <v>541733752.84590971</v>
      </c>
      <c r="N17" s="47">
        <f>L17/$L$20</f>
        <v>7.4662274395238468E-2</v>
      </c>
      <c r="O17" s="92"/>
      <c r="P17" s="9"/>
      <c r="Q17" s="22" t="s">
        <v>108</v>
      </c>
      <c r="R17">
        <f>0.111*L17</f>
        <v>3338836.566679399</v>
      </c>
      <c r="S17" s="47">
        <f>R17/$R$20</f>
        <v>7.4662274395238468E-2</v>
      </c>
      <c r="T17" s="106"/>
      <c r="U17" s="111"/>
      <c r="V17" s="27"/>
      <c r="W17" s="22" t="s">
        <v>112</v>
      </c>
      <c r="X17">
        <f>L17-R17</f>
        <v>26740772.142144013</v>
      </c>
      <c r="Y17" s="47">
        <f>X17/$X$20</f>
        <v>7.4662274395238468E-2</v>
      </c>
      <c r="Z17" s="92"/>
      <c r="AA17" s="9"/>
    </row>
    <row r="18" spans="1:63" x14ac:dyDescent="0.3">
      <c r="A18" s="100" t="s">
        <v>117</v>
      </c>
      <c r="B18" s="26" t="s">
        <v>77</v>
      </c>
      <c r="C18" s="26">
        <f>0.111*0.1*C16</f>
        <v>1417572.3751674509</v>
      </c>
      <c r="D18" s="26">
        <f>C18*D6</f>
        <v>62373184.507367834</v>
      </c>
      <c r="E18" s="102">
        <f>SUM(C18:C19)/C23</f>
        <v>9.9810370187761004E-3</v>
      </c>
      <c r="F18" s="104">
        <f>SUM(C18:C19)</f>
        <v>4422825.8105224464</v>
      </c>
      <c r="K18" s="22" t="s">
        <v>104</v>
      </c>
      <c r="L18">
        <f>(1*H16)</f>
        <v>114938300.68925276</v>
      </c>
      <c r="M18">
        <f t="shared" si="0"/>
        <v>3219421802.3059702</v>
      </c>
      <c r="N18" s="47">
        <f>L18/$L$20</f>
        <v>0.28529476655280234</v>
      </c>
      <c r="O18" s="91">
        <f>SUM(N18:N19)</f>
        <v>0.89011967164474348</v>
      </c>
      <c r="P18" s="9"/>
      <c r="Q18" s="22" t="s">
        <v>109</v>
      </c>
      <c r="R18">
        <f>0.111*L18</f>
        <v>12758151.376507057</v>
      </c>
      <c r="S18" s="47">
        <f>R18/$R$20</f>
        <v>0.28529476655280234</v>
      </c>
      <c r="T18" s="106">
        <f>SUM(S18:S19)</f>
        <v>0.89011967164474326</v>
      </c>
      <c r="U18" s="107">
        <f>SUM(R18:R19)</f>
        <v>39805432.294702023</v>
      </c>
      <c r="V18" s="28"/>
      <c r="W18" s="22" t="s">
        <v>113</v>
      </c>
      <c r="X18">
        <f>L18-R18</f>
        <v>102180149.31274571</v>
      </c>
      <c r="Y18" s="47">
        <f>X18/$X$20</f>
        <v>0.28529476655280234</v>
      </c>
      <c r="Z18" s="91">
        <f>SUM(Y18:Y19)</f>
        <v>0.89011967164474326</v>
      </c>
      <c r="AA18" s="44"/>
    </row>
    <row r="19" spans="1:63" x14ac:dyDescent="0.3">
      <c r="A19" s="101"/>
      <c r="B19" s="25" t="s">
        <v>79</v>
      </c>
      <c r="C19" s="25">
        <f>0.111*0.1*C17</f>
        <v>3005253.4353549955</v>
      </c>
      <c r="D19" s="26">
        <f>C19*D7</f>
        <v>54124614.370743476</v>
      </c>
      <c r="E19" s="103"/>
      <c r="F19" s="105"/>
      <c r="K19" s="22" t="s">
        <v>105</v>
      </c>
      <c r="L19">
        <f>(2.12*H16)</f>
        <v>243669197.46121588</v>
      </c>
      <c r="M19">
        <f t="shared" si="0"/>
        <v>489775086.89704388</v>
      </c>
      <c r="N19" s="47">
        <f>L19/$L$20</f>
        <v>0.60482490509194109</v>
      </c>
      <c r="O19" s="92"/>
      <c r="P19" s="9"/>
      <c r="Q19" s="22" t="s">
        <v>110</v>
      </c>
      <c r="R19">
        <f>0.111*L19</f>
        <v>27047280.918194965</v>
      </c>
      <c r="S19" s="47">
        <f>R19/$R$20</f>
        <v>0.60482490509194098</v>
      </c>
      <c r="T19" s="106"/>
      <c r="U19" s="107"/>
      <c r="V19" s="28"/>
      <c r="W19" s="22" t="s">
        <v>114</v>
      </c>
      <c r="X19">
        <f>L19-R19</f>
        <v>216621916.5430209</v>
      </c>
      <c r="Y19" s="47">
        <f>X19/$X$20</f>
        <v>0.60482490509194098</v>
      </c>
      <c r="Z19" s="92"/>
      <c r="AA19" s="9"/>
    </row>
    <row r="20" spans="1:63" x14ac:dyDescent="0.3">
      <c r="A20" s="100" t="s">
        <v>118</v>
      </c>
      <c r="B20" s="26" t="s">
        <v>81</v>
      </c>
      <c r="C20" s="26">
        <f>0.111*0.9*B27</f>
        <v>12899766.856786285</v>
      </c>
      <c r="D20" s="26">
        <f>C20*D8</f>
        <v>361322469.65858388</v>
      </c>
      <c r="E20" s="102">
        <f>SUM(C20:C21)/C23</f>
        <v>9.0826438767160636E-2</v>
      </c>
      <c r="F20" s="104">
        <f>SUM(C20:C21)</f>
        <v>40247272.593173206</v>
      </c>
      <c r="K20" s="68" t="s">
        <v>29</v>
      </c>
      <c r="L20">
        <f>SUM(L16:L19)</f>
        <v>402875601.53326535</v>
      </c>
      <c r="M20">
        <f>SUM(M16:M19)</f>
        <v>4875224407.7037497</v>
      </c>
      <c r="O20" s="23"/>
      <c r="Q20" s="48" t="s">
        <v>29</v>
      </c>
      <c r="R20" s="25">
        <f>SUM(R16:R19)</f>
        <v>44719191.770192459</v>
      </c>
      <c r="S20" s="25"/>
      <c r="T20" s="25"/>
      <c r="U20" s="39"/>
      <c r="W20" s="48" t="s">
        <v>115</v>
      </c>
      <c r="X20" s="25">
        <f>SUM(X16:X19)</f>
        <v>358156409.76307291</v>
      </c>
      <c r="Y20" s="25"/>
      <c r="Z20" s="39"/>
    </row>
    <row r="21" spans="1:63" x14ac:dyDescent="0.3">
      <c r="A21" s="101"/>
      <c r="B21" s="25" t="s">
        <v>20</v>
      </c>
      <c r="C21" s="25">
        <f>0.111*0.9*B28</f>
        <v>27347505.736386925</v>
      </c>
      <c r="D21" s="26">
        <f>C21*D9</f>
        <v>54968486.53013771</v>
      </c>
      <c r="E21" s="103"/>
      <c r="F21" s="105"/>
      <c r="K21" s="22" t="s">
        <v>106</v>
      </c>
      <c r="L21">
        <f>1.56*H16</f>
        <v>179303749.07523432</v>
      </c>
      <c r="M21">
        <f>L21*D10</f>
        <v>5737719970.4074984</v>
      </c>
      <c r="N21" s="69">
        <f>L21/C23</f>
        <v>0.40463663589632842</v>
      </c>
      <c r="O21" s="23"/>
    </row>
    <row r="22" spans="1:63" ht="28.8" x14ac:dyDescent="0.3">
      <c r="A22" s="112" t="s">
        <v>119</v>
      </c>
      <c r="B22" s="89"/>
      <c r="C22">
        <f>SUM(C16:C19)</f>
        <v>402875601.53326535</v>
      </c>
      <c r="D22">
        <f>SUM(D16:D19)</f>
        <v>10611794995.104355</v>
      </c>
      <c r="E22">
        <v>143.39236</v>
      </c>
      <c r="F22" s="23"/>
      <c r="K22" s="70" t="s">
        <v>122</v>
      </c>
      <c r="L22" s="25">
        <f>C22-H15</f>
        <v>44268103.382796705</v>
      </c>
      <c r="M22" s="25"/>
      <c r="N22" s="71">
        <f>SUM(L16:L17)</f>
        <v>44268103.38279672</v>
      </c>
      <c r="O22" s="39"/>
      <c r="BG22">
        <f>12.01/3.67</f>
        <v>3.2724795640326976</v>
      </c>
    </row>
    <row r="23" spans="1:63" x14ac:dyDescent="0.3">
      <c r="A23" s="97" t="s">
        <v>120</v>
      </c>
      <c r="B23" s="98"/>
      <c r="C23" s="24">
        <f>SUM(C16:C21)</f>
        <v>443122874.12643862</v>
      </c>
      <c r="D23" s="24">
        <f>SUM(D16:D21)</f>
        <v>11028085951.293077</v>
      </c>
      <c r="E23" s="34" t="s">
        <v>131</v>
      </c>
      <c r="F23" s="35">
        <f>(C16+C17)/0.8889</f>
        <v>448253769.51596683</v>
      </c>
      <c r="G23">
        <f>SUM(C16:C19)</f>
        <v>402875601.53326535</v>
      </c>
      <c r="AF23" t="s">
        <v>155</v>
      </c>
    </row>
    <row r="24" spans="1:63" x14ac:dyDescent="0.3">
      <c r="F24">
        <f>0.9*G23</f>
        <v>362588041.37993884</v>
      </c>
      <c r="AE24" t="s">
        <v>156</v>
      </c>
    </row>
    <row r="25" spans="1:63" x14ac:dyDescent="0.3">
      <c r="F25">
        <f>F24/3.12</f>
        <v>116214115.82690348</v>
      </c>
      <c r="AE25" t="s">
        <v>157</v>
      </c>
    </row>
    <row r="26" spans="1:63" x14ac:dyDescent="0.3">
      <c r="B26" s="3" t="s">
        <v>126</v>
      </c>
      <c r="C26" t="s">
        <v>125</v>
      </c>
      <c r="D26" t="s">
        <v>127</v>
      </c>
      <c r="E26" t="s">
        <v>128</v>
      </c>
      <c r="AE26" t="s">
        <v>158</v>
      </c>
    </row>
    <row r="27" spans="1:63" ht="15" thickBot="1" x14ac:dyDescent="0.35">
      <c r="A27" s="2" t="s">
        <v>123</v>
      </c>
      <c r="B27">
        <f>C16+C18</f>
        <v>129126795.36322607</v>
      </c>
      <c r="C27">
        <f>B27-H16</f>
        <v>14188494.673973307</v>
      </c>
      <c r="D27">
        <f>B27-C27</f>
        <v>114938300.68925276</v>
      </c>
      <c r="E27" s="16">
        <f>D27/B27</f>
        <v>0.89011967164474337</v>
      </c>
    </row>
    <row r="28" spans="1:63" ht="15" thickBot="1" x14ac:dyDescent="0.35">
      <c r="A28" s="2" t="s">
        <v>124</v>
      </c>
      <c r="B28">
        <f>C17+C19</f>
        <v>273748806.1700393</v>
      </c>
      <c r="C28">
        <f>B28-H17</f>
        <v>30079608.708823413</v>
      </c>
      <c r="D28">
        <f>B28-C28</f>
        <v>243669197.46121588</v>
      </c>
      <c r="E28" s="16">
        <f>D28/B28</f>
        <v>0.89011967164474337</v>
      </c>
      <c r="AE28" t="s">
        <v>191</v>
      </c>
      <c r="AF28">
        <v>12.01</v>
      </c>
      <c r="AG28" t="s">
        <v>192</v>
      </c>
      <c r="AH28">
        <v>1.01</v>
      </c>
      <c r="AI28" t="s">
        <v>137</v>
      </c>
      <c r="AX28" s="93" t="s">
        <v>216</v>
      </c>
      <c r="AY28" s="94"/>
      <c r="AZ28" s="94"/>
      <c r="BA28" s="94"/>
      <c r="BB28" s="94"/>
      <c r="BC28" s="94"/>
      <c r="BD28" s="94"/>
      <c r="BE28" s="94"/>
      <c r="BF28" s="94"/>
      <c r="BG28" s="94"/>
      <c r="BH28" s="94"/>
      <c r="BI28" s="94"/>
      <c r="BJ28" s="94"/>
      <c r="BK28" s="95"/>
    </row>
    <row r="29" spans="1:63" x14ac:dyDescent="0.3">
      <c r="AE29" s="21"/>
      <c r="AF29" s="26"/>
      <c r="AG29" s="26" t="s">
        <v>167</v>
      </c>
      <c r="AH29" s="46">
        <v>0.109</v>
      </c>
      <c r="AI29">
        <f>(3.67*AF28)+(9.34*AH28)</f>
        <v>53.510099999999994</v>
      </c>
      <c r="BE29" t="s">
        <v>201</v>
      </c>
    </row>
    <row r="30" spans="1:63" x14ac:dyDescent="0.3">
      <c r="AE30" s="22" t="s">
        <v>168</v>
      </c>
      <c r="AG30" t="s">
        <v>5</v>
      </c>
      <c r="AH30" s="23">
        <v>2.9700000000000001E-2</v>
      </c>
      <c r="AI30">
        <f>(11.67*AF28)+(25.34*AH28)</f>
        <v>165.7501</v>
      </c>
    </row>
    <row r="31" spans="1:63" x14ac:dyDescent="0.3">
      <c r="AE31" s="38"/>
      <c r="AF31" s="25"/>
      <c r="AG31" s="25" t="s">
        <v>7</v>
      </c>
      <c r="AH31" s="39">
        <v>1.11E-2</v>
      </c>
      <c r="AI31">
        <f>(22.67*AF28)+(47.34*AH28)</f>
        <v>320.08010000000002</v>
      </c>
      <c r="AX31" s="82" t="s">
        <v>188</v>
      </c>
      <c r="AY31" s="108"/>
      <c r="AZ31" s="37" t="s">
        <v>177</v>
      </c>
      <c r="BA31" t="s">
        <v>65</v>
      </c>
      <c r="BE31" s="89" t="s">
        <v>233</v>
      </c>
      <c r="BF31" s="89"/>
      <c r="BG31" s="89"/>
      <c r="BH31" s="2" t="s">
        <v>65</v>
      </c>
      <c r="BI31" s="2" t="s">
        <v>61</v>
      </c>
    </row>
    <row r="32" spans="1:63" ht="15" thickBot="1" x14ac:dyDescent="0.35">
      <c r="AX32" s="22" t="s">
        <v>189</v>
      </c>
      <c r="AY32" t="s">
        <v>193</v>
      </c>
      <c r="AZ32" s="23">
        <f>AZ41</f>
        <v>1127060.9873875403</v>
      </c>
      <c r="BA32" s="31">
        <f>AZ32*((3.67*$AF$28)+(9.34*$AH$28))</f>
        <v>60309146.141206011</v>
      </c>
      <c r="BB32" t="s">
        <v>194</v>
      </c>
      <c r="BE32" s="21" t="s">
        <v>81</v>
      </c>
      <c r="BF32" s="26" t="s">
        <v>197</v>
      </c>
      <c r="BG32" s="46">
        <f>3.67*AZ34</f>
        <v>34792657.670895524</v>
      </c>
      <c r="BH32" s="60">
        <f>BG32*D8</f>
        <v>974542341.36178374</v>
      </c>
      <c r="BI32" s="62">
        <v>355.05799999999999</v>
      </c>
      <c r="BJ32" t="s">
        <v>247</v>
      </c>
      <c r="BK32" s="2" t="s">
        <v>202</v>
      </c>
    </row>
    <row r="33" spans="1:62" ht="15" thickBot="1" x14ac:dyDescent="0.35">
      <c r="A33" s="21"/>
      <c r="B33" s="83" t="s">
        <v>96</v>
      </c>
      <c r="C33" s="108"/>
      <c r="D33" s="108"/>
      <c r="E33" s="104"/>
      <c r="F33" s="46"/>
      <c r="J33" s="2"/>
      <c r="K33" s="93" t="s">
        <v>130</v>
      </c>
      <c r="L33" s="94"/>
      <c r="M33" s="94"/>
      <c r="N33" s="94"/>
      <c r="O33" s="94"/>
      <c r="P33" s="94"/>
      <c r="Q33" s="94"/>
      <c r="R33" s="94"/>
      <c r="S33" s="94"/>
      <c r="T33" s="94"/>
      <c r="U33" s="94"/>
      <c r="V33" s="95"/>
      <c r="W33" s="2"/>
      <c r="X33" s="2"/>
      <c r="Y33" s="2"/>
      <c r="AB33" s="2"/>
      <c r="AC33" s="94" t="s">
        <v>204</v>
      </c>
      <c r="AD33" s="94"/>
      <c r="AE33" s="94"/>
      <c r="AF33" s="94"/>
      <c r="AG33" s="94"/>
      <c r="AH33" s="94"/>
      <c r="AI33" s="94"/>
      <c r="AJ33" s="94"/>
      <c r="AK33" s="94"/>
      <c r="AL33" s="94"/>
      <c r="AM33" s="94"/>
      <c r="AN33" s="94"/>
      <c r="AO33" s="95"/>
      <c r="AX33" s="22" t="s">
        <v>190</v>
      </c>
      <c r="AY33" t="s">
        <v>164</v>
      </c>
      <c r="AZ33" s="23">
        <f>AK37</f>
        <v>8353227.2063169619</v>
      </c>
      <c r="BA33" s="31">
        <f>AZ33*((3.67*$AF$28)+(9.34*$AH$28))</f>
        <v>446982023.13274121</v>
      </c>
      <c r="BE33" s="38" t="s">
        <v>20</v>
      </c>
      <c r="BF33" s="25" t="s">
        <v>198</v>
      </c>
      <c r="BG33" s="39">
        <f>12.01*AZ34</f>
        <v>113858261.20639108</v>
      </c>
      <c r="BH33" s="60">
        <f>BG33*D9</f>
        <v>228855105.02484605</v>
      </c>
      <c r="BI33" s="62">
        <v>83.62</v>
      </c>
    </row>
    <row r="34" spans="1:62" x14ac:dyDescent="0.3">
      <c r="A34" s="38"/>
      <c r="B34" s="25"/>
      <c r="C34" s="34" t="s">
        <v>90</v>
      </c>
      <c r="D34" s="25"/>
      <c r="E34" s="39"/>
      <c r="F34" s="39"/>
      <c r="K34" s="22"/>
      <c r="L34" s="2" t="s">
        <v>177</v>
      </c>
      <c r="M34" s="2" t="s">
        <v>65</v>
      </c>
      <c r="N34" s="2" t="s">
        <v>116</v>
      </c>
      <c r="O34" s="23"/>
      <c r="Q34" s="22"/>
      <c r="R34" s="2" t="s">
        <v>177</v>
      </c>
      <c r="S34" s="2" t="s">
        <v>65</v>
      </c>
      <c r="T34" s="2" t="s">
        <v>116</v>
      </c>
      <c r="V34" s="23"/>
      <c r="X34" s="22"/>
      <c r="Z34" s="45" t="s">
        <v>116</v>
      </c>
      <c r="AA34" s="45"/>
      <c r="AB34" s="46"/>
      <c r="AX34" s="97" t="s">
        <v>195</v>
      </c>
      <c r="AY34" s="98"/>
      <c r="AZ34" s="39">
        <f>SUM(AZ32:AZ33)</f>
        <v>9480288.1937045027</v>
      </c>
      <c r="BA34">
        <f>SUM(BA32:BA33)</f>
        <v>507291169.27394724</v>
      </c>
      <c r="BE34" s="21" t="s">
        <v>84</v>
      </c>
      <c r="BF34" s="26" t="s">
        <v>199</v>
      </c>
      <c r="BG34" s="46">
        <f>(3.67/4)*AZ34</f>
        <v>8698164.4177238811</v>
      </c>
      <c r="BH34" s="60">
        <f>BG34*D10</f>
        <v>278341261.36716419</v>
      </c>
      <c r="BI34" s="62">
        <v>101.40479999999999</v>
      </c>
      <c r="BJ34" t="s">
        <v>246</v>
      </c>
    </row>
    <row r="35" spans="1:62" ht="14.4" customHeight="1" x14ac:dyDescent="0.3">
      <c r="A35" s="22"/>
      <c r="B35" s="6"/>
      <c r="C35">
        <f>SUM(C36:C37)</f>
        <v>398452775.72274292</v>
      </c>
      <c r="D35" s="17" t="s">
        <v>65</v>
      </c>
      <c r="E35" s="2" t="s">
        <v>116</v>
      </c>
      <c r="F35" s="23"/>
      <c r="H35" s="5"/>
      <c r="I35" s="5"/>
      <c r="K35" s="22" t="s">
        <v>102</v>
      </c>
      <c r="L35">
        <f>C36+(0.1*0.111*C36)-H16</f>
        <v>14188494.673973307</v>
      </c>
      <c r="M35">
        <f>L35*D6</f>
        <v>624293765.65482545</v>
      </c>
      <c r="N35" s="47">
        <f>L35/$L$39</f>
        <v>3.2051282051282035E-2</v>
      </c>
      <c r="O35" s="91">
        <f>SUM(N35:N36)</f>
        <v>9.999999999999995E-2</v>
      </c>
      <c r="Q35" s="22" t="s">
        <v>107</v>
      </c>
      <c r="R35">
        <f>0.111*L35</f>
        <v>1574922.9088110372</v>
      </c>
      <c r="S35">
        <f>R35*D6</f>
        <v>69296607.987685636</v>
      </c>
      <c r="T35" s="47">
        <f>R35/$R$39</f>
        <v>3.2051282051282035E-2</v>
      </c>
      <c r="U35" s="106">
        <f>SUM(T35:T36)</f>
        <v>9.999999999999995E-2</v>
      </c>
      <c r="V35" s="111">
        <f>SUM(R35:R36)</f>
        <v>4913759.475490436</v>
      </c>
      <c r="X35" s="22" t="s">
        <v>111</v>
      </c>
      <c r="Y35">
        <f>X16</f>
        <v>12613571.765162271</v>
      </c>
      <c r="Z35">
        <f>Y35*D6</f>
        <v>554997157.66713989</v>
      </c>
      <c r="AA35" s="47">
        <f>Y35/$Y$39</f>
        <v>3.5218053960018141E-2</v>
      </c>
      <c r="AB35" s="91">
        <f>SUM(AA35:AA36)</f>
        <v>0.1098803283552566</v>
      </c>
      <c r="AD35" s="2" t="s">
        <v>159</v>
      </c>
      <c r="AI35" s="89" t="s">
        <v>176</v>
      </c>
      <c r="AJ35" s="89"/>
      <c r="AK35" s="89"/>
      <c r="AL35" s="89"/>
      <c r="AM35" s="89"/>
      <c r="BE35" s="38" t="s">
        <v>79</v>
      </c>
      <c r="BF35" s="25" t="s">
        <v>200</v>
      </c>
      <c r="BG35" s="39">
        <f>(3.67/2)*AZ34</f>
        <v>17396328.835447762</v>
      </c>
      <c r="BH35" s="60">
        <f>BG35*D7</f>
        <v>313307882.32641423</v>
      </c>
      <c r="BI35" s="62">
        <v>114.18</v>
      </c>
    </row>
    <row r="36" spans="1:62" x14ac:dyDescent="0.3">
      <c r="A36" s="109" t="s">
        <v>121</v>
      </c>
      <c r="B36" t="s">
        <v>77</v>
      </c>
      <c r="C36">
        <f>E6/D6</f>
        <v>127709222.98805863</v>
      </c>
      <c r="D36" s="2">
        <f>C36*D6</f>
        <v>5619205811.4745798</v>
      </c>
      <c r="E36" s="110">
        <f>SUM(C36:C37)/C43</f>
        <v>0.89119498463980884</v>
      </c>
      <c r="F36" s="23"/>
      <c r="H36" s="5"/>
      <c r="I36" s="5"/>
      <c r="K36" s="22" t="s">
        <v>103</v>
      </c>
      <c r="L36">
        <f>C37+(0.1*0.111*C37)-H17</f>
        <v>30079608.708823413</v>
      </c>
      <c r="M36">
        <f>L36*D7</f>
        <v>541733752.84590971</v>
      </c>
      <c r="N36" s="47">
        <f>L36/$L$39</f>
        <v>6.7948717948717915E-2</v>
      </c>
      <c r="O36" s="92"/>
      <c r="Q36" s="22" t="s">
        <v>108</v>
      </c>
      <c r="R36">
        <f>0.111*L36</f>
        <v>3338836.566679399</v>
      </c>
      <c r="S36">
        <f t="shared" ref="S36:S38" si="1">R36*D7</f>
        <v>60132446.565895982</v>
      </c>
      <c r="T36" s="47">
        <f>R36/$R$39</f>
        <v>6.7948717948717915E-2</v>
      </c>
      <c r="U36" s="106"/>
      <c r="V36" s="111"/>
      <c r="X36" s="22" t="s">
        <v>112</v>
      </c>
      <c r="Y36">
        <f>X17</f>
        <v>26740772.142144013</v>
      </c>
      <c r="Z36">
        <f t="shared" ref="Z36" si="2">Y36*D7</f>
        <v>481601306.28001374</v>
      </c>
      <c r="AA36" s="47">
        <f>Y36/$Y$39</f>
        <v>7.4662274395238468E-2</v>
      </c>
      <c r="AB36" s="92"/>
      <c r="AJ36" s="89" t="s">
        <v>177</v>
      </c>
      <c r="AK36" s="89"/>
      <c r="AL36" s="89" t="s">
        <v>65</v>
      </c>
      <c r="AM36" s="89"/>
      <c r="AN36" s="2" t="s">
        <v>61</v>
      </c>
      <c r="BE36" s="2" t="s">
        <v>217</v>
      </c>
      <c r="BF36" t="s">
        <v>218</v>
      </c>
      <c r="BG36">
        <f>BG34-L40</f>
        <v>-170605584.65751043</v>
      </c>
      <c r="BH36" t="s">
        <v>234</v>
      </c>
    </row>
    <row r="37" spans="1:62" ht="15" thickBot="1" x14ac:dyDescent="0.35">
      <c r="A37" s="109"/>
      <c r="B37" t="s">
        <v>79</v>
      </c>
      <c r="C37">
        <f>2.12*C36</f>
        <v>270743552.73468429</v>
      </c>
      <c r="D37" s="2">
        <f>C37*D7</f>
        <v>4876091384.7516642</v>
      </c>
      <c r="E37" s="110"/>
      <c r="F37" s="23"/>
      <c r="H37" s="5"/>
      <c r="I37" s="5"/>
      <c r="K37" s="22" t="s">
        <v>104</v>
      </c>
      <c r="L37">
        <f>(1*H16)+(0.111*H16)</f>
        <v>127696452.06575982</v>
      </c>
      <c r="M37">
        <f>L37*D8</f>
        <v>3576777622.3619328</v>
      </c>
      <c r="N37" s="47">
        <f>L37/$L$39</f>
        <v>0.28846153846153844</v>
      </c>
      <c r="O37" s="91">
        <f>SUM(N37:N38)</f>
        <v>0.9</v>
      </c>
      <c r="Q37" s="22" t="s">
        <v>109</v>
      </c>
      <c r="R37" s="31">
        <f>0.111*L37</f>
        <v>14174306.17929934</v>
      </c>
      <c r="S37">
        <f t="shared" si="1"/>
        <v>397022316.08217454</v>
      </c>
      <c r="T37" s="47">
        <f>R37/$R$39</f>
        <v>0.28846153846153844</v>
      </c>
      <c r="U37" s="106">
        <f>SUM(T37:T38)</f>
        <v>0.9</v>
      </c>
      <c r="V37" s="107">
        <f>SUM(R37:R38)</f>
        <v>44223835.279413946</v>
      </c>
      <c r="X37" s="64" t="s">
        <v>113</v>
      </c>
      <c r="Y37" s="64">
        <f>X18</f>
        <v>102180149.31274571</v>
      </c>
      <c r="Z37" s="64">
        <f>Y37*D8</f>
        <v>2862065982.2500072</v>
      </c>
      <c r="AA37" s="47">
        <f>Y37/$Y$39</f>
        <v>0.28529476655280234</v>
      </c>
      <c r="AB37" s="91">
        <f>SUM(AA37:AA38)</f>
        <v>0.89011967164474326</v>
      </c>
      <c r="AI37" s="21" t="s">
        <v>167</v>
      </c>
      <c r="AJ37" s="26" t="s">
        <v>164</v>
      </c>
      <c r="AK37" s="46">
        <f>AH29*AD45</f>
        <v>8353227.2063169619</v>
      </c>
      <c r="AL37" s="21" t="s">
        <v>173</v>
      </c>
      <c r="AM37" s="56">
        <f>AK37*AI29</f>
        <v>446982023.13274121</v>
      </c>
      <c r="AN37" s="62">
        <v>158.76599999999999</v>
      </c>
      <c r="AO37" t="s">
        <v>203</v>
      </c>
    </row>
    <row r="38" spans="1:62" ht="15" thickBot="1" x14ac:dyDescent="0.35">
      <c r="A38" s="100" t="s">
        <v>117</v>
      </c>
      <c r="B38" s="26" t="s">
        <v>77</v>
      </c>
      <c r="C38" s="26">
        <f>0.111*0.1*C36</f>
        <v>1417572.3751674509</v>
      </c>
      <c r="D38" s="26">
        <f>C38*D6</f>
        <v>62373184.507367834</v>
      </c>
      <c r="E38" s="102">
        <f>SUM(C38:C39)/C43</f>
        <v>9.8922643295018785E-3</v>
      </c>
      <c r="F38" s="104">
        <f>SUM(C38:C39)</f>
        <v>4422825.8105224464</v>
      </c>
      <c r="H38" s="5"/>
      <c r="I38" s="5"/>
      <c r="K38" s="22" t="s">
        <v>105</v>
      </c>
      <c r="L38">
        <f>(2.12*H16)+(0.111*H17)</f>
        <v>270716478.37941086</v>
      </c>
      <c r="M38">
        <f>L38*D9</f>
        <v>544140121.54261577</v>
      </c>
      <c r="N38" s="47">
        <f>L38/$L$39</f>
        <v>0.61153846153846159</v>
      </c>
      <c r="O38" s="92"/>
      <c r="Q38" s="22" t="s">
        <v>110</v>
      </c>
      <c r="R38" s="31">
        <f>0.111*L38</f>
        <v>30049529.100114606</v>
      </c>
      <c r="S38">
        <f t="shared" si="1"/>
        <v>60399553.491230354</v>
      </c>
      <c r="T38" s="47">
        <f>R38/$R$39</f>
        <v>0.61153846153846159</v>
      </c>
      <c r="U38" s="106"/>
      <c r="V38" s="107"/>
      <c r="X38" s="64" t="s">
        <v>114</v>
      </c>
      <c r="Y38" s="64">
        <f>X19</f>
        <v>216621916.5430209</v>
      </c>
      <c r="Z38" s="64">
        <f>Y38*D9</f>
        <v>435410052.251472</v>
      </c>
      <c r="AA38" s="47">
        <f>Y38/$Y$39</f>
        <v>0.60482490509194098</v>
      </c>
      <c r="AB38" s="92"/>
      <c r="AI38" s="22" t="s">
        <v>5</v>
      </c>
      <c r="AJ38" t="s">
        <v>165</v>
      </c>
      <c r="AK38" s="23">
        <f>AH30*AD45</f>
        <v>2276062.8259414108</v>
      </c>
      <c r="AL38" s="22" t="s">
        <v>174</v>
      </c>
      <c r="AM38" s="56">
        <f>AK38*AI30</f>
        <v>377257641.00607145</v>
      </c>
      <c r="AN38" s="62">
        <v>134.006</v>
      </c>
      <c r="AS38" s="2"/>
      <c r="AU38" s="93" t="s">
        <v>186</v>
      </c>
      <c r="AV38" s="94"/>
      <c r="AW38" s="94"/>
      <c r="AX38" s="94"/>
      <c r="AY38" s="94"/>
      <c r="AZ38" s="95"/>
      <c r="BA38" s="17"/>
      <c r="BG38">
        <f>SUM(BG32:BG33)</f>
        <v>148650918.87728661</v>
      </c>
    </row>
    <row r="39" spans="1:62" x14ac:dyDescent="0.3">
      <c r="A39" s="101"/>
      <c r="B39" s="25" t="s">
        <v>79</v>
      </c>
      <c r="C39" s="25">
        <f>0.111*0.1*C37</f>
        <v>3005253.4353549955</v>
      </c>
      <c r="D39" s="26">
        <f>C39*D7</f>
        <v>54124614.370743476</v>
      </c>
      <c r="E39" s="103"/>
      <c r="F39" s="105"/>
      <c r="H39" s="5"/>
      <c r="I39" s="5"/>
      <c r="K39" s="68" t="s">
        <v>29</v>
      </c>
      <c r="L39">
        <f>SUM(L35:L38)</f>
        <v>442681033.82796741</v>
      </c>
      <c r="M39">
        <f>SUM(M35:M38)</f>
        <v>5286945262.4052839</v>
      </c>
      <c r="O39" s="23"/>
      <c r="Q39" s="48" t="s">
        <v>29</v>
      </c>
      <c r="R39" s="25">
        <f>SUM(R35:R38)</f>
        <v>49137594.754904382</v>
      </c>
      <c r="S39" s="25">
        <f>SUM(S35:S38)</f>
        <v>586850924.1269865</v>
      </c>
      <c r="T39" s="25"/>
      <c r="U39" s="25"/>
      <c r="V39" s="39"/>
      <c r="X39" s="48" t="s">
        <v>115</v>
      </c>
      <c r="Y39" s="25">
        <f>SUM(Y35:Y38)</f>
        <v>358156409.76307291</v>
      </c>
      <c r="Z39" s="25">
        <f>SUM(Z35:Z38)</f>
        <v>4334074498.4486332</v>
      </c>
      <c r="AA39" s="25"/>
      <c r="AB39" s="39"/>
      <c r="AI39" s="22" t="s">
        <v>7</v>
      </c>
      <c r="AJ39" t="s">
        <v>166</v>
      </c>
      <c r="AK39" s="23">
        <f>AH31*AD45</f>
        <v>850649.74302860803</v>
      </c>
      <c r="AL39" s="22" t="s">
        <v>175</v>
      </c>
      <c r="AM39" s="73">
        <f>AK39*AI31</f>
        <v>272276054.81357116</v>
      </c>
      <c r="AN39" s="62">
        <v>96.715999999999994</v>
      </c>
      <c r="AP39" s="11">
        <v>3959761.0743195098</v>
      </c>
      <c r="AU39" s="112" t="s">
        <v>96</v>
      </c>
      <c r="AV39" s="90"/>
      <c r="AW39" s="112" t="s">
        <v>182</v>
      </c>
      <c r="AX39" s="89"/>
      <c r="AY39" s="89"/>
      <c r="AZ39" s="90"/>
      <c r="BA39" s="17"/>
      <c r="BG39">
        <f>BG38*(28.01+2.01)</f>
        <v>4462500584.6961451</v>
      </c>
    </row>
    <row r="40" spans="1:62" ht="28.8" x14ac:dyDescent="0.3">
      <c r="A40" s="100" t="s">
        <v>118</v>
      </c>
      <c r="B40" s="26" t="s">
        <v>81</v>
      </c>
      <c r="C40" s="29">
        <f>R37</f>
        <v>14174306.17929934</v>
      </c>
      <c r="D40" s="29">
        <f>C40*D8</f>
        <v>397022316.08217454</v>
      </c>
      <c r="E40" s="102">
        <f>SUM(C40:C41)/C43</f>
        <v>9.8912751030689292E-2</v>
      </c>
      <c r="F40" s="104">
        <f>SUM(C40:C41)</f>
        <v>44223835.279413946</v>
      </c>
      <c r="H40" s="5"/>
      <c r="I40" s="5"/>
      <c r="K40" s="22" t="s">
        <v>106</v>
      </c>
      <c r="L40">
        <f>1.56*H16</f>
        <v>179303749.07523432</v>
      </c>
      <c r="M40" s="31">
        <f>L40*D10</f>
        <v>5737719970.4074984</v>
      </c>
      <c r="N40" s="69">
        <f>L40/C23</f>
        <v>0.40463663589632842</v>
      </c>
      <c r="O40" s="23"/>
      <c r="X40" s="85" t="s">
        <v>256</v>
      </c>
      <c r="Y40" s="86"/>
      <c r="Z40" s="55">
        <f>Z39+M40</f>
        <v>10071794468.856133</v>
      </c>
      <c r="AB40">
        <f>2*Y38</f>
        <v>433243833.08604181</v>
      </c>
      <c r="AI40" s="38" t="s">
        <v>79</v>
      </c>
      <c r="AJ40" s="25" t="s">
        <v>169</v>
      </c>
      <c r="AK40" s="39">
        <f>1*AD45</f>
        <v>76635111.984559283</v>
      </c>
      <c r="AL40" s="38" t="s">
        <v>178</v>
      </c>
      <c r="AM40" s="39">
        <f>18*AK40</f>
        <v>1379432015.7220671</v>
      </c>
      <c r="AN40">
        <v>490.54</v>
      </c>
      <c r="AU40" s="22"/>
      <c r="AV40" s="23"/>
      <c r="AW40" s="22"/>
      <c r="AX40" s="5" t="s">
        <v>187</v>
      </c>
      <c r="AY40" s="51" t="s">
        <v>65</v>
      </c>
      <c r="AZ40" s="52" t="s">
        <v>177</v>
      </c>
      <c r="BA40" s="2" t="s">
        <v>61</v>
      </c>
      <c r="BG40" s="89" t="s">
        <v>236</v>
      </c>
      <c r="BH40" s="89"/>
      <c r="BI40" s="89"/>
      <c r="BJ40" s="89"/>
    </row>
    <row r="41" spans="1:62" ht="28.8" x14ac:dyDescent="0.3">
      <c r="A41" s="101"/>
      <c r="B41" s="25" t="s">
        <v>20</v>
      </c>
      <c r="C41" s="30">
        <f>R38</f>
        <v>30049529.100114606</v>
      </c>
      <c r="D41" s="30">
        <f>C41*D9</f>
        <v>60399553.491230354</v>
      </c>
      <c r="E41" s="103"/>
      <c r="F41" s="105"/>
      <c r="H41" s="5"/>
      <c r="I41" s="5"/>
      <c r="K41" s="70" t="s">
        <v>122</v>
      </c>
      <c r="L41" s="25">
        <f>C22-H15</f>
        <v>44268103.382796705</v>
      </c>
      <c r="M41" s="25">
        <f>SUM(M39:M40)</f>
        <v>11024665232.812782</v>
      </c>
      <c r="N41" s="71">
        <f>SUM(L35:L36)</f>
        <v>44268103.38279672</v>
      </c>
      <c r="O41" s="39"/>
      <c r="Q41" s="21" t="s">
        <v>111</v>
      </c>
      <c r="R41" s="26">
        <f>L35-R35</f>
        <v>12613571.765162271</v>
      </c>
      <c r="S41" s="26">
        <f>R41*D6</f>
        <v>554997157.66713989</v>
      </c>
      <c r="T41" s="66">
        <f>R41/$R$45</f>
        <v>3.2051282051282035E-2</v>
      </c>
      <c r="AI41" s="36" t="s">
        <v>170</v>
      </c>
      <c r="AJ41" s="45"/>
      <c r="AK41" s="37"/>
      <c r="AO41" s="16">
        <f>(AM39+AM38)/SUM(AM37:AM39)</f>
        <v>0.59236149978790098</v>
      </c>
      <c r="AU41" s="22" t="s">
        <v>175</v>
      </c>
      <c r="AV41" s="74">
        <f>AM39</f>
        <v>272276054.81357116</v>
      </c>
      <c r="AW41" s="22" t="s">
        <v>183</v>
      </c>
      <c r="AX41">
        <v>0.2215</v>
      </c>
      <c r="AY41" s="74">
        <f>AX41*$AV$41</f>
        <v>60309146.141206011</v>
      </c>
      <c r="AZ41" s="41">
        <f>AY41/AI29</f>
        <v>1127060.9873875403</v>
      </c>
      <c r="BA41" s="62">
        <v>21.422999999999998</v>
      </c>
      <c r="BI41" t="s">
        <v>65</v>
      </c>
    </row>
    <row r="42" spans="1:62" x14ac:dyDescent="0.3">
      <c r="A42" s="112" t="s">
        <v>119</v>
      </c>
      <c r="B42" s="89"/>
      <c r="C42">
        <f>SUM(C36:C39)</f>
        <v>402875601.53326535</v>
      </c>
      <c r="D42">
        <f>SUM(D36:D39)</f>
        <v>10611794995.104355</v>
      </c>
      <c r="E42">
        <v>143.39236</v>
      </c>
      <c r="F42" s="23"/>
      <c r="H42" s="5"/>
      <c r="I42" s="5"/>
      <c r="Q42" s="22" t="s">
        <v>112</v>
      </c>
      <c r="R42">
        <f>L36-R36</f>
        <v>26740772.142144013</v>
      </c>
      <c r="S42">
        <f>R42*D7</f>
        <v>481601306.28001374</v>
      </c>
      <c r="T42" s="67">
        <f t="shared" ref="T42:T44" si="3">R42/$R$45</f>
        <v>6.7948717948717915E-2</v>
      </c>
      <c r="V42" s="99" t="s">
        <v>259</v>
      </c>
      <c r="W42" s="99"/>
      <c r="X42" s="65" t="s">
        <v>113</v>
      </c>
      <c r="Y42" s="65">
        <f>Z42/28.01</f>
        <v>36.305390931810066</v>
      </c>
      <c r="Z42" s="65">
        <v>1016.914</v>
      </c>
      <c r="AI42" s="22" t="s">
        <v>81</v>
      </c>
      <c r="AJ42" t="s">
        <v>171</v>
      </c>
      <c r="AK42" s="53">
        <f>0.25*Y37</f>
        <v>25545037.328186426</v>
      </c>
      <c r="AM42" s="11">
        <f>SUM(AM38:AM39)</f>
        <v>649533695.81964254</v>
      </c>
      <c r="AN42" s="11">
        <f>AM42/807.5</f>
        <v>804376.09389429411</v>
      </c>
      <c r="AU42" s="22" t="s">
        <v>181</v>
      </c>
      <c r="AV42" s="57">
        <f>0.031*AV41</f>
        <v>8440557.6992207058</v>
      </c>
      <c r="AW42" s="22" t="s">
        <v>184</v>
      </c>
      <c r="AX42">
        <v>0.61019999999999996</v>
      </c>
      <c r="AY42" s="57">
        <f t="shared" ref="AY42:AY43" si="4">AX42*$AV$41</f>
        <v>166142848.64724112</v>
      </c>
      <c r="AZ42" s="41">
        <f>AY42/AI30</f>
        <v>1002369.5228373384</v>
      </c>
      <c r="BA42" s="62">
        <v>59.01</v>
      </c>
      <c r="BG42" t="s">
        <v>206</v>
      </c>
      <c r="BH42" t="s">
        <v>205</v>
      </c>
      <c r="BI42" s="31">
        <f>AM38+AY42</f>
        <v>543400489.65331256</v>
      </c>
      <c r="BJ42" t="s">
        <v>215</v>
      </c>
    </row>
    <row r="43" spans="1:62" x14ac:dyDescent="0.3">
      <c r="A43" s="97" t="s">
        <v>120</v>
      </c>
      <c r="B43" s="98"/>
      <c r="C43" s="24">
        <f>SUM(C36:C41)</f>
        <v>447099436.81267929</v>
      </c>
      <c r="D43" s="24">
        <f>SUM(D36:D41)</f>
        <v>11069216864.677759</v>
      </c>
      <c r="E43" s="34" t="s">
        <v>131</v>
      </c>
      <c r="F43" s="35">
        <f>(C36+C37)/0.8889</f>
        <v>448253769.51596683</v>
      </c>
      <c r="H43" s="5"/>
      <c r="I43" s="5"/>
      <c r="Q43" s="22" t="s">
        <v>113</v>
      </c>
      <c r="R43">
        <f>L37-R37</f>
        <v>113522145.88646048</v>
      </c>
      <c r="S43">
        <f>R43*D8</f>
        <v>3179755306.2797585</v>
      </c>
      <c r="T43" s="67">
        <f t="shared" si="3"/>
        <v>0.28846153846153844</v>
      </c>
      <c r="V43" s="99"/>
      <c r="W43" s="99"/>
      <c r="X43" s="65" t="s">
        <v>114</v>
      </c>
      <c r="Y43" s="65">
        <f>Z43/2.01</f>
        <v>77.192039800995033</v>
      </c>
      <c r="Z43" s="65">
        <v>155.15600000000001</v>
      </c>
      <c r="AB43" s="85" t="s">
        <v>98</v>
      </c>
      <c r="AC43" s="86"/>
      <c r="AD43" s="86"/>
      <c r="AE43" s="86"/>
      <c r="AF43" s="113"/>
      <c r="AI43" s="38" t="s">
        <v>20</v>
      </c>
      <c r="AJ43" s="25" t="s">
        <v>172</v>
      </c>
      <c r="AK43" s="39">
        <f>Y38-AD46</f>
        <v>51856425.776218444</v>
      </c>
      <c r="AN43" s="11">
        <f>AM42/807.5</f>
        <v>804376.09389429411</v>
      </c>
      <c r="AU43" s="38"/>
      <c r="AV43" s="39"/>
      <c r="AW43" s="38" t="s">
        <v>185</v>
      </c>
      <c r="AX43" s="25">
        <v>0.16839999999999999</v>
      </c>
      <c r="AY43" s="63">
        <f t="shared" si="4"/>
        <v>45851287.630605377</v>
      </c>
      <c r="AZ43" s="42">
        <f>AY43/AI31</f>
        <v>143249.41672601757</v>
      </c>
      <c r="BA43" s="62">
        <v>16.286999999999999</v>
      </c>
      <c r="BG43" t="s">
        <v>210</v>
      </c>
      <c r="BH43" t="s">
        <v>211</v>
      </c>
      <c r="BI43" s="31">
        <f>AY43</f>
        <v>45851287.630605377</v>
      </c>
    </row>
    <row r="44" spans="1:62" x14ac:dyDescent="0.3">
      <c r="Q44" s="22" t="s">
        <v>114</v>
      </c>
      <c r="R44">
        <f>L38-R38</f>
        <v>240666949.27929625</v>
      </c>
      <c r="S44">
        <f>R44*D9</f>
        <v>483740568.0513854</v>
      </c>
      <c r="T44" s="67">
        <f t="shared" si="3"/>
        <v>0.61153846153846159</v>
      </c>
      <c r="AB44" s="36"/>
      <c r="AC44" s="83" t="s">
        <v>177</v>
      </c>
      <c r="AD44" s="84"/>
      <c r="AE44" s="82" t="s">
        <v>65</v>
      </c>
      <c r="AF44" s="84"/>
      <c r="AM44">
        <f>SUM(AM38:AM39)</f>
        <v>649533695.81964254</v>
      </c>
      <c r="AW44">
        <f>SUM(AY41:AY43)</f>
        <v>272303282.41905254</v>
      </c>
      <c r="AX44">
        <f>SUM(AZ41:AZ43)</f>
        <v>2272679.9269508962</v>
      </c>
      <c r="AY44" s="11">
        <f>SUM(AY41:AY43)</f>
        <v>272303282.41905254</v>
      </c>
    </row>
    <row r="45" spans="1:62" ht="28.8" x14ac:dyDescent="0.3">
      <c r="Q45" s="68" t="s">
        <v>29</v>
      </c>
      <c r="R45">
        <f>SUM(R41:R44)</f>
        <v>393543439.07306302</v>
      </c>
      <c r="S45">
        <f>SUM(S41:S44)</f>
        <v>4700094338.2782974</v>
      </c>
      <c r="T45" s="23"/>
      <c r="Y45">
        <f>SUM(Y37:Y38)</f>
        <v>318802065.85576659</v>
      </c>
      <c r="AB45" s="49" t="s">
        <v>81</v>
      </c>
      <c r="AC45" s="5" t="s">
        <v>162</v>
      </c>
      <c r="AD45">
        <f>0.75*Y37</f>
        <v>76635111.984559283</v>
      </c>
      <c r="AE45" s="22" t="s">
        <v>179</v>
      </c>
      <c r="AF45" s="23">
        <f>28.01*AD45</f>
        <v>2146549486.6875057</v>
      </c>
      <c r="AM45">
        <f>AM44/30</f>
        <v>21651123.193988085</v>
      </c>
    </row>
    <row r="46" spans="1:62" ht="43.2" x14ac:dyDescent="0.3">
      <c r="Q46" s="97" t="s">
        <v>258</v>
      </c>
      <c r="R46" s="98"/>
      <c r="S46" s="25">
        <f>S45+M40</f>
        <v>10437814308.685795</v>
      </c>
      <c r="T46" s="39"/>
      <c r="Y46">
        <f>Y45*(28.01+2.01)</f>
        <v>9570438016.9901142</v>
      </c>
      <c r="AB46" s="38" t="s">
        <v>20</v>
      </c>
      <c r="AC46" s="50" t="s">
        <v>163</v>
      </c>
      <c r="AD46" s="25">
        <f>2.15*AD45</f>
        <v>164765490.76680246</v>
      </c>
      <c r="AE46" s="38" t="s">
        <v>180</v>
      </c>
      <c r="AF46" s="39">
        <f>2.01*AD46</f>
        <v>331178636.44127291</v>
      </c>
      <c r="AH46" s="11">
        <f>SUM(AD46+AK43)</f>
        <v>216621916.5430209</v>
      </c>
      <c r="BF46" t="s">
        <v>243</v>
      </c>
      <c r="BG46" t="s">
        <v>207</v>
      </c>
      <c r="BH46" t="s">
        <v>208</v>
      </c>
      <c r="BI46">
        <f>0.01*AM37</f>
        <v>4469820.2313274126</v>
      </c>
      <c r="BJ46" t="s">
        <v>219</v>
      </c>
    </row>
    <row r="47" spans="1:62" x14ac:dyDescent="0.3">
      <c r="AD47">
        <f>Y38*0.75</f>
        <v>162466437.40726566</v>
      </c>
    </row>
    <row r="51" spans="1:63" x14ac:dyDescent="0.3">
      <c r="A51" s="96" t="s">
        <v>220</v>
      </c>
      <c r="B51" s="96"/>
      <c r="C51" s="96"/>
      <c r="D51" s="96"/>
      <c r="E51" s="96"/>
      <c r="F51" s="96"/>
      <c r="G51" s="96"/>
      <c r="H51" s="96"/>
      <c r="I51" s="96"/>
      <c r="J51" s="96"/>
      <c r="K51" s="96"/>
      <c r="L51" s="96"/>
      <c r="M51" s="96"/>
      <c r="N51" s="96"/>
      <c r="O51" s="96"/>
      <c r="P51" s="96"/>
      <c r="Q51" s="96"/>
      <c r="R51" s="96"/>
      <c r="S51" s="96"/>
      <c r="T51" s="96"/>
      <c r="U51" s="96"/>
      <c r="V51" s="96"/>
      <c r="W51" s="96"/>
      <c r="X51" s="96"/>
      <c r="Y51" s="96"/>
      <c r="Z51" s="96"/>
      <c r="AA51" s="96"/>
      <c r="AB51" s="96"/>
      <c r="AC51" s="96"/>
      <c r="AD51" s="96"/>
      <c r="AE51" s="96"/>
      <c r="AF51" s="96"/>
      <c r="AG51" s="96"/>
      <c r="AH51" s="96"/>
      <c r="AI51" s="96"/>
      <c r="AJ51" s="96"/>
      <c r="AK51" s="96"/>
      <c r="AL51" s="96"/>
      <c r="AM51" s="96"/>
      <c r="AN51" s="96"/>
      <c r="AO51" s="96"/>
      <c r="AP51" s="96"/>
      <c r="AQ51" s="96"/>
      <c r="AR51" s="96"/>
      <c r="AS51" s="96"/>
      <c r="AT51" s="96"/>
      <c r="AU51" s="96"/>
      <c r="AV51" s="96"/>
      <c r="AW51" s="96"/>
      <c r="AX51" s="96"/>
      <c r="AY51" s="96"/>
      <c r="AZ51" s="96"/>
      <c r="BA51" s="96"/>
      <c r="BB51" s="96"/>
      <c r="BC51" s="96"/>
      <c r="BD51" s="96"/>
      <c r="BE51" s="96"/>
      <c r="BF51" s="96"/>
      <c r="BG51" s="96"/>
      <c r="BH51" s="96"/>
      <c r="BI51" s="96"/>
      <c r="BJ51" s="96"/>
      <c r="BK51" s="96"/>
    </row>
    <row r="53" spans="1:63" x14ac:dyDescent="0.3">
      <c r="W53" s="2" t="s">
        <v>221</v>
      </c>
    </row>
    <row r="54" spans="1:63" x14ac:dyDescent="0.3">
      <c r="W54" t="s">
        <v>222</v>
      </c>
    </row>
    <row r="55" spans="1:63" x14ac:dyDescent="0.3">
      <c r="AF55" s="82" t="s">
        <v>94</v>
      </c>
      <c r="AG55" s="83"/>
      <c r="AH55" s="83"/>
      <c r="AI55" s="83"/>
      <c r="AJ55" s="84"/>
    </row>
    <row r="56" spans="1:63" x14ac:dyDescent="0.3">
      <c r="AF56" s="22"/>
      <c r="AG56" s="89" t="s">
        <v>177</v>
      </c>
      <c r="AH56" s="89"/>
      <c r="AI56" s="89" t="s">
        <v>65</v>
      </c>
      <c r="AJ56" s="90"/>
      <c r="AK56" s="2" t="s">
        <v>61</v>
      </c>
    </row>
    <row r="57" spans="1:63" x14ac:dyDescent="0.3">
      <c r="W57" s="36" t="s">
        <v>96</v>
      </c>
      <c r="X57" s="26"/>
      <c r="Y57" s="26" t="s">
        <v>177</v>
      </c>
      <c r="Z57" s="46" t="s">
        <v>65</v>
      </c>
      <c r="AF57" s="21" t="s">
        <v>167</v>
      </c>
      <c r="AG57" s="26" t="s">
        <v>164</v>
      </c>
      <c r="AH57" s="46">
        <f>AH29*$AC$65</f>
        <v>2844299.7645957093</v>
      </c>
      <c r="AI57" s="26" t="s">
        <v>173</v>
      </c>
      <c r="AJ57" s="56">
        <f>AH57*AI29</f>
        <v>152198764.83349285</v>
      </c>
      <c r="AK57" s="62">
        <v>55.43</v>
      </c>
    </row>
    <row r="58" spans="1:63" x14ac:dyDescent="0.3">
      <c r="W58" s="22" t="s">
        <v>223</v>
      </c>
      <c r="X58" t="s">
        <v>197</v>
      </c>
      <c r="Y58">
        <f>BG32</f>
        <v>34792657.670895524</v>
      </c>
      <c r="Z58" s="23">
        <f>Y58*D8</f>
        <v>974542341.36178374</v>
      </c>
      <c r="AF58" s="22" t="s">
        <v>5</v>
      </c>
      <c r="AG58" t="s">
        <v>165</v>
      </c>
      <c r="AH58" s="23">
        <f t="shared" ref="AH58:AH59" si="5">AH30*$AC$65</f>
        <v>775006.44961919787</v>
      </c>
      <c r="AI58" t="s">
        <v>174</v>
      </c>
      <c r="AJ58" s="57">
        <f t="shared" ref="AJ58:AJ59" si="6">AH58*AI30</f>
        <v>128457396.52502701</v>
      </c>
      <c r="AK58" s="62">
        <v>46.78</v>
      </c>
      <c r="AP58" s="82" t="s">
        <v>227</v>
      </c>
      <c r="AQ58" s="83"/>
      <c r="AR58" s="83"/>
      <c r="AS58" s="83"/>
      <c r="AT58" s="83"/>
      <c r="AU58" s="84"/>
    </row>
    <row r="59" spans="1:63" x14ac:dyDescent="0.3">
      <c r="W59" s="38" t="s">
        <v>224</v>
      </c>
      <c r="X59" s="25" t="s">
        <v>198</v>
      </c>
      <c r="Y59" s="25">
        <f>BG33</f>
        <v>113858261.20639108</v>
      </c>
      <c r="Z59" s="39">
        <f>Y59*D9</f>
        <v>228855105.02484605</v>
      </c>
      <c r="AF59" s="22" t="s">
        <v>7</v>
      </c>
      <c r="AG59" t="s">
        <v>166</v>
      </c>
      <c r="AH59" s="23">
        <f t="shared" si="5"/>
        <v>289648.87511020526</v>
      </c>
      <c r="AI59" t="s">
        <v>175</v>
      </c>
      <c r="AJ59" s="57">
        <f t="shared" si="6"/>
        <v>92710840.910162017</v>
      </c>
      <c r="AK59" s="62">
        <v>33.76</v>
      </c>
      <c r="AP59" s="82" t="s">
        <v>230</v>
      </c>
      <c r="AQ59" s="84"/>
      <c r="AR59" s="82" t="s">
        <v>182</v>
      </c>
      <c r="AS59" s="83"/>
      <c r="AT59" s="83"/>
      <c r="AU59" s="84"/>
    </row>
    <row r="60" spans="1:63" x14ac:dyDescent="0.3">
      <c r="AF60" s="38" t="s">
        <v>79</v>
      </c>
      <c r="AG60" s="25" t="s">
        <v>225</v>
      </c>
      <c r="AH60" s="39">
        <f>1*AC65</f>
        <v>26094493.253171645</v>
      </c>
      <c r="AI60" s="25" t="s">
        <v>226</v>
      </c>
      <c r="AJ60" s="63">
        <f>AH60*D7</f>
        <v>469961823.48962134</v>
      </c>
      <c r="AK60" s="62">
        <v>171.27</v>
      </c>
      <c r="AP60" s="22"/>
      <c r="AQ60" s="23"/>
      <c r="AR60" s="22"/>
      <c r="AS60" t="s">
        <v>187</v>
      </c>
      <c r="AT60" s="2" t="s">
        <v>65</v>
      </c>
      <c r="AU60" s="51" t="s">
        <v>177</v>
      </c>
      <c r="AV60" s="2" t="s">
        <v>240</v>
      </c>
    </row>
    <row r="61" spans="1:63" x14ac:dyDescent="0.3">
      <c r="AF61" s="36" t="s">
        <v>170</v>
      </c>
      <c r="AG61" s="26"/>
      <c r="AH61" s="46"/>
      <c r="AI61" s="2" t="s">
        <v>61</v>
      </c>
      <c r="AP61" s="22" t="s">
        <v>175</v>
      </c>
      <c r="AQ61" s="75">
        <f>AJ59</f>
        <v>92710840.910162017</v>
      </c>
      <c r="AR61" s="22" t="s">
        <v>183</v>
      </c>
      <c r="AS61">
        <f>0.2215</f>
        <v>0.2215</v>
      </c>
      <c r="AT61" s="58">
        <f>AS61*$AQ$61</f>
        <v>20535451.261600886</v>
      </c>
      <c r="AU61" s="23">
        <f>AT61/AI29</f>
        <v>383767.7608825416</v>
      </c>
      <c r="AV61">
        <v>7.48</v>
      </c>
    </row>
    <row r="62" spans="1:63" x14ac:dyDescent="0.3">
      <c r="AF62" s="22" t="s">
        <v>81</v>
      </c>
      <c r="AG62" t="s">
        <v>171</v>
      </c>
      <c r="AH62" s="23">
        <f>0.25*Y58</f>
        <v>8698164.4177238811</v>
      </c>
      <c r="AI62">
        <v>3.169</v>
      </c>
      <c r="AP62" s="22" t="s">
        <v>181</v>
      </c>
      <c r="AQ62" s="57">
        <f>0.031*AQ61</f>
        <v>2874036.0682150223</v>
      </c>
      <c r="AR62" s="22" t="s">
        <v>228</v>
      </c>
      <c r="AS62">
        <f>0.6102</f>
        <v>0.61019999999999996</v>
      </c>
      <c r="AT62" s="58">
        <f t="shared" ref="AT62:AT63" si="7">AS62*$AQ$61</f>
        <v>56572155.123380862</v>
      </c>
      <c r="AU62" s="23">
        <f t="shared" ref="AU62:AU63" si="8">AT62/AI30</f>
        <v>341309.93057247542</v>
      </c>
      <c r="AV62">
        <v>20.605</v>
      </c>
    </row>
    <row r="63" spans="1:63" x14ac:dyDescent="0.3">
      <c r="AB63" s="82" t="s">
        <v>98</v>
      </c>
      <c r="AC63" s="83"/>
      <c r="AD63" s="84"/>
      <c r="AF63" s="38" t="s">
        <v>20</v>
      </c>
      <c r="AG63" s="25" t="s">
        <v>172</v>
      </c>
      <c r="AH63" s="39">
        <f>Y59-AC66</f>
        <v>57755100.712072045</v>
      </c>
      <c r="AP63" s="38"/>
      <c r="AQ63" s="39"/>
      <c r="AR63" s="38" t="s">
        <v>229</v>
      </c>
      <c r="AS63" s="25">
        <v>0.16839999999999999</v>
      </c>
      <c r="AT63" s="59">
        <f t="shared" si="7"/>
        <v>15612505.609271282</v>
      </c>
      <c r="AU63" s="39">
        <f t="shared" si="8"/>
        <v>48776.870568558559</v>
      </c>
      <c r="AV63">
        <v>5.69</v>
      </c>
    </row>
    <row r="64" spans="1:63" x14ac:dyDescent="0.3">
      <c r="AB64" s="22"/>
      <c r="AC64" s="2" t="s">
        <v>177</v>
      </c>
      <c r="AD64" s="51" t="s">
        <v>65</v>
      </c>
    </row>
    <row r="65" spans="28:61" x14ac:dyDescent="0.3">
      <c r="AB65" s="22" t="s">
        <v>81</v>
      </c>
      <c r="AC65">
        <f>0.75*Y58</f>
        <v>26094493.253171645</v>
      </c>
      <c r="AD65" s="75">
        <f>AC65*D8</f>
        <v>730906756.02133787</v>
      </c>
    </row>
    <row r="66" spans="28:61" x14ac:dyDescent="0.3">
      <c r="AB66" s="38" t="s">
        <v>20</v>
      </c>
      <c r="AC66" s="25">
        <f>2.15*AC65</f>
        <v>56103160.494319037</v>
      </c>
      <c r="AD66" s="39">
        <f>AC66*D9</f>
        <v>112767352.59358124</v>
      </c>
      <c r="AP66" s="36" t="s">
        <v>231</v>
      </c>
      <c r="AQ66" s="45"/>
      <c r="AR66" s="37" t="s">
        <v>177</v>
      </c>
      <c r="AS66" s="54" t="s">
        <v>65</v>
      </c>
      <c r="AV66" s="82" t="s">
        <v>232</v>
      </c>
      <c r="AW66" s="83"/>
      <c r="AX66" s="84"/>
      <c r="AY66" s="2" t="s">
        <v>65</v>
      </c>
      <c r="AZ66" s="2" t="s">
        <v>248</v>
      </c>
    </row>
    <row r="67" spans="28:61" x14ac:dyDescent="0.3">
      <c r="AP67" s="22" t="s">
        <v>189</v>
      </c>
      <c r="AQ67" t="s">
        <v>193</v>
      </c>
      <c r="AR67" s="23">
        <f>AU61</f>
        <v>383767.7608825416</v>
      </c>
      <c r="AS67" s="41">
        <f>AR67*$AI$29</f>
        <v>20535451.261600886</v>
      </c>
      <c r="AV67" s="22" t="s">
        <v>81</v>
      </c>
      <c r="AW67" t="s">
        <v>197</v>
      </c>
      <c r="AX67" s="23">
        <f>3.67*AR69</f>
        <v>11847007.818505181</v>
      </c>
      <c r="AY67" s="60">
        <f>AX67*D8</f>
        <v>331834688.99633014</v>
      </c>
      <c r="AZ67" s="62">
        <v>123.97</v>
      </c>
      <c r="BA67" t="s">
        <v>247</v>
      </c>
    </row>
    <row r="68" spans="28:61" x14ac:dyDescent="0.3">
      <c r="AE68" t="s">
        <v>263</v>
      </c>
      <c r="AF68">
        <f>AF46+AD66</f>
        <v>443945989.03485417</v>
      </c>
      <c r="AP68" s="38" t="s">
        <v>190</v>
      </c>
      <c r="AQ68" s="25" t="s">
        <v>164</v>
      </c>
      <c r="AR68" s="39">
        <f>AH57</f>
        <v>2844299.7645957093</v>
      </c>
      <c r="AS68" s="42">
        <f>AR68*$AI$29</f>
        <v>152198764.83349285</v>
      </c>
      <c r="AV68" s="22" t="s">
        <v>20</v>
      </c>
      <c r="AW68" t="s">
        <v>198</v>
      </c>
      <c r="AX68" s="23">
        <f>12.01*AR69</f>
        <v>38769090.980993792</v>
      </c>
      <c r="AY68">
        <f>AX68*D9</f>
        <v>77925872.871797517</v>
      </c>
      <c r="AZ68" s="62">
        <v>29.196999999999999</v>
      </c>
      <c r="BE68" s="2" t="s">
        <v>202</v>
      </c>
    </row>
    <row r="69" spans="28:61" x14ac:dyDescent="0.3">
      <c r="AE69" t="s">
        <v>265</v>
      </c>
      <c r="AF69">
        <f>AV42+AQ62</f>
        <v>11314593.767435728</v>
      </c>
      <c r="AP69" s="85" t="s">
        <v>195</v>
      </c>
      <c r="AQ69" s="86"/>
      <c r="AR69">
        <f>SUM(AR67:AR68)</f>
        <v>3228067.5254782508</v>
      </c>
      <c r="AS69" s="55">
        <f>SUM(AS67:AS68)</f>
        <v>172734216.09509373</v>
      </c>
      <c r="AV69" s="21" t="s">
        <v>84</v>
      </c>
      <c r="AW69" s="26" t="s">
        <v>199</v>
      </c>
      <c r="AX69" s="46">
        <f>(3.67/4)*AR69</f>
        <v>2961751.9546262952</v>
      </c>
      <c r="AY69" s="60">
        <f>AX69*D10</f>
        <v>94776062.548041448</v>
      </c>
      <c r="AZ69" s="62">
        <v>35.409999999999997</v>
      </c>
      <c r="BE69" s="89" t="s">
        <v>239</v>
      </c>
      <c r="BF69" s="89"/>
      <c r="BG69" s="89"/>
    </row>
    <row r="70" spans="28:61" x14ac:dyDescent="0.3">
      <c r="AF70">
        <f>SUM(AF68:AF69)</f>
        <v>455260582.8022899</v>
      </c>
      <c r="AP70" s="83" t="s">
        <v>61</v>
      </c>
      <c r="AQ70" s="83"/>
      <c r="AV70" s="38" t="s">
        <v>79</v>
      </c>
      <c r="AW70" s="25" t="s">
        <v>200</v>
      </c>
      <c r="AX70" s="39">
        <f>(3.67/2)*AR69</f>
        <v>5923503.9092525905</v>
      </c>
      <c r="AY70">
        <f>AX70*D7</f>
        <v>106682305.40563917</v>
      </c>
      <c r="AZ70" s="62">
        <v>39.840000000000003</v>
      </c>
      <c r="BG70" t="s">
        <v>65</v>
      </c>
      <c r="BH70" s="2" t="s">
        <v>241</v>
      </c>
      <c r="BI70" t="s">
        <v>61</v>
      </c>
    </row>
    <row r="71" spans="28:61" ht="42" customHeight="1" x14ac:dyDescent="0.3">
      <c r="AE71" t="s">
        <v>293</v>
      </c>
      <c r="AF71">
        <f>Z38</f>
        <v>435410052.251472</v>
      </c>
      <c r="AV71" s="87" t="s">
        <v>235</v>
      </c>
      <c r="AW71" s="88"/>
      <c r="AX71" s="39">
        <f>ABS(AX69-ABS(BG36))</f>
        <v>167643832.70288414</v>
      </c>
      <c r="AZ71">
        <v>63.405999999999999</v>
      </c>
      <c r="BE71" t="s">
        <v>206</v>
      </c>
      <c r="BF71" t="s">
        <v>205</v>
      </c>
      <c r="BG71">
        <f>AJ58+AT62</f>
        <v>185029551.64840788</v>
      </c>
      <c r="BH71" s="60">
        <f>BG71+BI42</f>
        <v>728430041.30172038</v>
      </c>
      <c r="BI71">
        <v>260.42</v>
      </c>
    </row>
    <row r="72" spans="28:61" x14ac:dyDescent="0.3">
      <c r="AF72">
        <f>AF71-AF70</f>
        <v>-19850530.550817907</v>
      </c>
      <c r="BE72" t="s">
        <v>237</v>
      </c>
      <c r="BF72" t="s">
        <v>211</v>
      </c>
      <c r="BG72" s="60">
        <f>AT63</f>
        <v>15612505.609271282</v>
      </c>
    </row>
    <row r="73" spans="28:61" x14ac:dyDescent="0.3">
      <c r="AU73" t="s">
        <v>249</v>
      </c>
      <c r="BE73" t="s">
        <v>207</v>
      </c>
      <c r="BF73" t="s">
        <v>238</v>
      </c>
    </row>
    <row r="74" spans="28:61" x14ac:dyDescent="0.3">
      <c r="AU74" t="s">
        <v>245</v>
      </c>
    </row>
    <row r="75" spans="28:61" x14ac:dyDescent="0.3">
      <c r="AE75" s="61"/>
      <c r="AU75" t="s">
        <v>250</v>
      </c>
    </row>
    <row r="76" spans="28:61" x14ac:dyDescent="0.3">
      <c r="AE76" s="61"/>
      <c r="AU76" t="s">
        <v>242</v>
      </c>
    </row>
    <row r="77" spans="28:61" x14ac:dyDescent="0.3">
      <c r="AU77" t="s">
        <v>244</v>
      </c>
    </row>
    <row r="78" spans="28:61" x14ac:dyDescent="0.3">
      <c r="AU78" t="s">
        <v>257</v>
      </c>
    </row>
    <row r="79" spans="28:61" x14ac:dyDescent="0.3">
      <c r="AU79" t="s">
        <v>255</v>
      </c>
    </row>
    <row r="82" spans="45:47" x14ac:dyDescent="0.3">
      <c r="AS82" s="11"/>
      <c r="AU82" s="11">
        <v>839528227.74764705</v>
      </c>
    </row>
    <row r="83" spans="45:47" x14ac:dyDescent="0.3">
      <c r="AS83" s="11"/>
      <c r="AU83" s="11">
        <v>293122502.19116402</v>
      </c>
    </row>
    <row r="84" spans="45:47" x14ac:dyDescent="0.3">
      <c r="AS84" s="11"/>
      <c r="AU84" s="11">
        <v>102344148.119205</v>
      </c>
    </row>
    <row r="85" spans="45:47" x14ac:dyDescent="0.3">
      <c r="AS85" s="11"/>
      <c r="AU85" s="11">
        <v>35733608.221699797</v>
      </c>
    </row>
    <row r="86" spans="45:47" x14ac:dyDescent="0.3">
      <c r="AS86" s="11"/>
      <c r="AU86" s="11">
        <v>12476441.3013708</v>
      </c>
    </row>
    <row r="87" spans="45:47" x14ac:dyDescent="0.3">
      <c r="AS87" s="11"/>
      <c r="AU87" s="72">
        <f>SUM(AU82:AU86)</f>
        <v>1283204927.5810866</v>
      </c>
    </row>
  </sheetData>
  <mergeCells count="76">
    <mergeCell ref="AU38:AZ38"/>
    <mergeCell ref="AU39:AV39"/>
    <mergeCell ref="AW39:AZ39"/>
    <mergeCell ref="A42:B42"/>
    <mergeCell ref="A43:B43"/>
    <mergeCell ref="AB43:AF43"/>
    <mergeCell ref="A40:A41"/>
    <mergeCell ref="E40:E41"/>
    <mergeCell ref="F40:F41"/>
    <mergeCell ref="A36:A37"/>
    <mergeCell ref="E36:E37"/>
    <mergeCell ref="AJ36:AK36"/>
    <mergeCell ref="AL36:AM36"/>
    <mergeCell ref="O37:O38"/>
    <mergeCell ref="U37:U38"/>
    <mergeCell ref="V37:V38"/>
    <mergeCell ref="AB37:AB38"/>
    <mergeCell ref="A38:A39"/>
    <mergeCell ref="O35:O36"/>
    <mergeCell ref="U35:U36"/>
    <mergeCell ref="V35:V36"/>
    <mergeCell ref="AB35:AB36"/>
    <mergeCell ref="E38:E39"/>
    <mergeCell ref="F38:F39"/>
    <mergeCell ref="BE31:BG31"/>
    <mergeCell ref="B33:E33"/>
    <mergeCell ref="AC33:AO33"/>
    <mergeCell ref="AX34:AY34"/>
    <mergeCell ref="AX31:AY31"/>
    <mergeCell ref="A20:A21"/>
    <mergeCell ref="E20:E21"/>
    <mergeCell ref="F20:F21"/>
    <mergeCell ref="A22:B22"/>
    <mergeCell ref="A23:B23"/>
    <mergeCell ref="B4:F4"/>
    <mergeCell ref="B13:E13"/>
    <mergeCell ref="J14:Y14"/>
    <mergeCell ref="A16:A17"/>
    <mergeCell ref="E16:E17"/>
    <mergeCell ref="O16:O17"/>
    <mergeCell ref="T16:T17"/>
    <mergeCell ref="U16:U17"/>
    <mergeCell ref="AX28:BK28"/>
    <mergeCell ref="A51:BK51"/>
    <mergeCell ref="X40:Y40"/>
    <mergeCell ref="G13:H13"/>
    <mergeCell ref="Q46:R46"/>
    <mergeCell ref="V42:W43"/>
    <mergeCell ref="Q13:U13"/>
    <mergeCell ref="K13:O13"/>
    <mergeCell ref="K33:V33"/>
    <mergeCell ref="Z16:Z17"/>
    <mergeCell ref="A18:A19"/>
    <mergeCell ref="E18:E19"/>
    <mergeCell ref="F18:F19"/>
    <mergeCell ref="O18:O19"/>
    <mergeCell ref="T18:T19"/>
    <mergeCell ref="U18:U19"/>
    <mergeCell ref="AB63:AD63"/>
    <mergeCell ref="AG56:AH56"/>
    <mergeCell ref="AI56:AJ56"/>
    <mergeCell ref="AF55:AJ55"/>
    <mergeCell ref="V13:Y13"/>
    <mergeCell ref="Z18:Z19"/>
    <mergeCell ref="AI35:AM35"/>
    <mergeCell ref="AC44:AD44"/>
    <mergeCell ref="AE44:AF44"/>
    <mergeCell ref="AV66:AX66"/>
    <mergeCell ref="AP69:AQ69"/>
    <mergeCell ref="AV71:AW71"/>
    <mergeCell ref="BG40:BJ40"/>
    <mergeCell ref="BE69:BG69"/>
    <mergeCell ref="AP70:AQ70"/>
    <mergeCell ref="AP59:AQ59"/>
    <mergeCell ref="AR59:AU59"/>
    <mergeCell ref="AP58:AU5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C1954-2042-454E-9526-DF17D577F0AC}">
  <dimension ref="A1:U26"/>
  <sheetViews>
    <sheetView topLeftCell="A4" zoomScale="90" zoomScaleNormal="90" workbookViewId="0">
      <selection activeCell="B26" sqref="B26"/>
    </sheetView>
  </sheetViews>
  <sheetFormatPr defaultRowHeight="14.4" x14ac:dyDescent="0.3"/>
  <cols>
    <col min="12" max="13" width="12" bestFit="1" customWidth="1"/>
    <col min="14" max="14" width="11" bestFit="1" customWidth="1"/>
    <col min="15" max="17" width="12" bestFit="1" customWidth="1"/>
  </cols>
  <sheetData>
    <row r="1" spans="1:21" x14ac:dyDescent="0.3">
      <c r="A1" s="2" t="s">
        <v>260</v>
      </c>
      <c r="G1" s="2" t="s">
        <v>263</v>
      </c>
      <c r="M1" s="2" t="s">
        <v>216</v>
      </c>
      <c r="T1" s="2" t="s">
        <v>265</v>
      </c>
    </row>
    <row r="2" spans="1:21" x14ac:dyDescent="0.3">
      <c r="A2" t="s">
        <v>89</v>
      </c>
      <c r="G2" t="s">
        <v>156</v>
      </c>
      <c r="M2" t="s">
        <v>201</v>
      </c>
    </row>
    <row r="3" spans="1:21" x14ac:dyDescent="0.3">
      <c r="G3" t="s">
        <v>157</v>
      </c>
    </row>
    <row r="4" spans="1:21" ht="45.6" customHeight="1" x14ac:dyDescent="0.3">
      <c r="G4" s="114" t="s">
        <v>158</v>
      </c>
      <c r="H4" s="114"/>
      <c r="I4" s="114"/>
      <c r="J4" s="114"/>
    </row>
    <row r="5" spans="1:21" x14ac:dyDescent="0.3">
      <c r="A5" s="2" t="s">
        <v>261</v>
      </c>
      <c r="B5" s="2" t="s">
        <v>262</v>
      </c>
      <c r="G5" s="2" t="s">
        <v>261</v>
      </c>
      <c r="H5" s="2" t="s">
        <v>262</v>
      </c>
      <c r="M5" s="2" t="s">
        <v>261</v>
      </c>
      <c r="N5" s="2" t="s">
        <v>262</v>
      </c>
      <c r="T5" s="2" t="s">
        <v>266</v>
      </c>
      <c r="U5" s="2" t="s">
        <v>262</v>
      </c>
    </row>
    <row r="6" spans="1:21" x14ac:dyDescent="0.3">
      <c r="A6" t="s">
        <v>77</v>
      </c>
      <c r="B6" t="s">
        <v>81</v>
      </c>
      <c r="G6" t="s">
        <v>81</v>
      </c>
      <c r="H6" t="s">
        <v>132</v>
      </c>
      <c r="M6" t="s">
        <v>264</v>
      </c>
      <c r="N6" t="s">
        <v>81</v>
      </c>
      <c r="T6" t="s">
        <v>267</v>
      </c>
      <c r="U6" t="s">
        <v>268</v>
      </c>
    </row>
    <row r="7" spans="1:21" x14ac:dyDescent="0.3">
      <c r="A7" t="s">
        <v>79</v>
      </c>
      <c r="B7" t="s">
        <v>20</v>
      </c>
      <c r="G7" t="s">
        <v>20</v>
      </c>
      <c r="H7" t="s">
        <v>79</v>
      </c>
      <c r="M7" t="s">
        <v>84</v>
      </c>
      <c r="N7" t="s">
        <v>20</v>
      </c>
      <c r="T7" t="s">
        <v>20</v>
      </c>
      <c r="U7" t="s">
        <v>269</v>
      </c>
    </row>
    <row r="8" spans="1:21" x14ac:dyDescent="0.3">
      <c r="A8" t="s">
        <v>270</v>
      </c>
      <c r="B8" t="s">
        <v>277</v>
      </c>
      <c r="H8" t="s">
        <v>271</v>
      </c>
      <c r="M8" t="s">
        <v>79</v>
      </c>
      <c r="U8" t="s">
        <v>276</v>
      </c>
    </row>
    <row r="9" spans="1:21" x14ac:dyDescent="0.3">
      <c r="A9" t="s">
        <v>271</v>
      </c>
      <c r="B9" t="s">
        <v>272</v>
      </c>
      <c r="H9" t="s">
        <v>274</v>
      </c>
      <c r="M9" t="s">
        <v>278</v>
      </c>
    </row>
    <row r="10" spans="1:21" x14ac:dyDescent="0.3">
      <c r="B10" t="s">
        <v>273</v>
      </c>
      <c r="H10" t="s">
        <v>275</v>
      </c>
    </row>
    <row r="11" spans="1:21" x14ac:dyDescent="0.3">
      <c r="Q11" s="11"/>
    </row>
    <row r="12" spans="1:21" x14ac:dyDescent="0.3">
      <c r="A12" s="2" t="s">
        <v>282</v>
      </c>
      <c r="Q12" s="11"/>
    </row>
    <row r="13" spans="1:21" x14ac:dyDescent="0.3">
      <c r="A13" t="s">
        <v>283</v>
      </c>
      <c r="Q13" s="11"/>
    </row>
    <row r="14" spans="1:21" x14ac:dyDescent="0.3">
      <c r="A14" s="2" t="s">
        <v>279</v>
      </c>
      <c r="Q14" s="11"/>
    </row>
    <row r="15" spans="1:21" x14ac:dyDescent="0.3">
      <c r="A15" t="s">
        <v>288</v>
      </c>
      <c r="L15" s="11"/>
      <c r="N15" s="11"/>
      <c r="O15" s="11"/>
      <c r="P15" s="11"/>
      <c r="Q15" s="72"/>
      <c r="R15" s="11"/>
    </row>
    <row r="16" spans="1:21" x14ac:dyDescent="0.3">
      <c r="A16" t="s">
        <v>280</v>
      </c>
      <c r="L16" s="11"/>
      <c r="N16" s="11"/>
      <c r="Q16" s="11"/>
    </row>
    <row r="17" spans="1:17" x14ac:dyDescent="0.3">
      <c r="A17" t="s">
        <v>281</v>
      </c>
      <c r="L17" s="11"/>
      <c r="N17" s="11"/>
    </row>
    <row r="18" spans="1:17" x14ac:dyDescent="0.3">
      <c r="A18" s="2" t="s">
        <v>284</v>
      </c>
      <c r="L18" s="11"/>
      <c r="N18" s="11"/>
      <c r="Q18" s="11"/>
    </row>
    <row r="19" spans="1:17" x14ac:dyDescent="0.3">
      <c r="A19" t="s">
        <v>285</v>
      </c>
      <c r="L19" s="11"/>
      <c r="M19" s="11"/>
      <c r="N19" s="11"/>
    </row>
    <row r="20" spans="1:17" x14ac:dyDescent="0.3">
      <c r="A20" s="2" t="s">
        <v>286</v>
      </c>
      <c r="M20" s="11"/>
      <c r="N20" s="11"/>
      <c r="O20" s="11"/>
      <c r="P20" s="11"/>
    </row>
    <row r="21" spans="1:17" x14ac:dyDescent="0.3">
      <c r="A21" t="s">
        <v>287</v>
      </c>
      <c r="L21" s="11"/>
      <c r="M21" s="72"/>
      <c r="O21" s="11"/>
      <c r="P21" s="11"/>
    </row>
    <row r="22" spans="1:17" x14ac:dyDescent="0.3">
      <c r="O22" s="11"/>
      <c r="P22" s="11"/>
    </row>
    <row r="24" spans="1:17" x14ac:dyDescent="0.3">
      <c r="A24" s="2" t="s">
        <v>289</v>
      </c>
    </row>
    <row r="25" spans="1:17" x14ac:dyDescent="0.3">
      <c r="A25">
        <f>((-2140*(0.85^2) + 15133*0.85 - 49267)/(16 - 2*0.85)) * 0.184</f>
        <v>-488.30897902097894</v>
      </c>
      <c r="B25" t="s">
        <v>292</v>
      </c>
    </row>
    <row r="26" spans="1:17" x14ac:dyDescent="0.3">
      <c r="A26" s="2" t="s">
        <v>290</v>
      </c>
      <c r="I26" s="11">
        <v>239532670140.06799</v>
      </c>
      <c r="J26" t="s">
        <v>291</v>
      </c>
    </row>
  </sheetData>
  <mergeCells count="1">
    <mergeCell ref="G4:J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3E3F7-3422-41A4-8066-2BB7DCC7A21C}">
  <dimension ref="A1:BK45"/>
  <sheetViews>
    <sheetView topLeftCell="E9" zoomScale="70" zoomScaleNormal="70" workbookViewId="0">
      <selection activeCell="Y37" sqref="Y37"/>
    </sheetView>
  </sheetViews>
  <sheetFormatPr defaultRowHeight="14.4" x14ac:dyDescent="0.3"/>
  <cols>
    <col min="1" max="1" width="11.77734375" customWidth="1"/>
    <col min="2" max="2" width="20.109375" customWidth="1"/>
    <col min="3" max="3" width="10.77734375" customWidth="1"/>
    <col min="4" max="4" width="11.44140625" customWidth="1"/>
    <col min="5" max="5" width="10" customWidth="1"/>
    <col min="6" max="6" width="10.88671875" customWidth="1"/>
    <col min="9" max="10" width="9.88671875" customWidth="1"/>
    <col min="11" max="11" width="9.21875" bestFit="1" customWidth="1"/>
    <col min="14" max="15" width="9" customWidth="1"/>
    <col min="28" max="28" width="10.5546875" customWidth="1"/>
    <col min="29" max="29" width="7" customWidth="1"/>
    <col min="30" max="30" width="12.5546875" customWidth="1"/>
    <col min="34" max="34" width="12.109375" customWidth="1"/>
    <col min="35" max="35" width="11" customWidth="1"/>
    <col min="36" max="36" width="11.44140625" customWidth="1"/>
    <col min="45" max="45" width="11.33203125" customWidth="1"/>
    <col min="47" max="47" width="14.21875" customWidth="1"/>
    <col min="51" max="51" width="10.33203125" customWidth="1"/>
  </cols>
  <sheetData>
    <row r="1" spans="1:27" x14ac:dyDescent="0.3">
      <c r="B1" s="2" t="s">
        <v>75</v>
      </c>
    </row>
    <row r="2" spans="1:27" x14ac:dyDescent="0.3">
      <c r="B2" t="s">
        <v>89</v>
      </c>
      <c r="J2" s="2" t="s">
        <v>93</v>
      </c>
      <c r="N2" s="2" t="s">
        <v>91</v>
      </c>
      <c r="O2" s="2"/>
      <c r="Q2" s="2" t="s">
        <v>92</v>
      </c>
      <c r="X2" s="2" t="s">
        <v>94</v>
      </c>
    </row>
    <row r="3" spans="1:27" x14ac:dyDescent="0.3">
      <c r="B3" s="89" t="s">
        <v>95</v>
      </c>
      <c r="C3" s="89"/>
      <c r="D3" s="89"/>
      <c r="E3" s="89"/>
      <c r="F3" s="89"/>
      <c r="J3" s="2"/>
      <c r="N3" s="2"/>
      <c r="O3" s="2"/>
      <c r="Q3" s="2"/>
      <c r="X3" s="2"/>
    </row>
    <row r="4" spans="1:27" ht="28.8" x14ac:dyDescent="0.3">
      <c r="C4" s="2" t="s">
        <v>85</v>
      </c>
      <c r="D4" s="6" t="s">
        <v>86</v>
      </c>
      <c r="E4" s="2" t="s">
        <v>87</v>
      </c>
      <c r="F4" s="2" t="s">
        <v>88</v>
      </c>
    </row>
    <row r="5" spans="1:27" x14ac:dyDescent="0.3">
      <c r="B5" t="s">
        <v>76</v>
      </c>
      <c r="C5" t="s">
        <v>77</v>
      </c>
      <c r="D5">
        <v>44</v>
      </c>
      <c r="E5">
        <v>10677529540.288099</v>
      </c>
      <c r="F5">
        <f>E5/D5</f>
        <v>242671125.91563863</v>
      </c>
    </row>
    <row r="6" spans="1:27" x14ac:dyDescent="0.3">
      <c r="B6" t="s">
        <v>78</v>
      </c>
      <c r="C6" t="s">
        <v>79</v>
      </c>
      <c r="D6">
        <v>18.010000000000002</v>
      </c>
      <c r="F6">
        <f>2.12*F5</f>
        <v>514462786.94115388</v>
      </c>
    </row>
    <row r="7" spans="1:27" x14ac:dyDescent="0.3">
      <c r="B7" t="s">
        <v>80</v>
      </c>
      <c r="C7" t="s">
        <v>81</v>
      </c>
      <c r="D7">
        <v>28.01</v>
      </c>
      <c r="F7">
        <f>1*F5</f>
        <v>242671125.91563863</v>
      </c>
    </row>
    <row r="8" spans="1:27" x14ac:dyDescent="0.3">
      <c r="B8" t="s">
        <v>82</v>
      </c>
      <c r="C8" t="s">
        <v>20</v>
      </c>
      <c r="D8">
        <v>2.0099999999999998</v>
      </c>
      <c r="F8">
        <f>2.12*F5</f>
        <v>514462786.94115388</v>
      </c>
      <c r="R8" s="16"/>
      <c r="S8" s="16"/>
      <c r="T8" s="16"/>
      <c r="U8" s="16"/>
      <c r="V8" s="18"/>
      <c r="Y8" s="16"/>
      <c r="Z8" s="18"/>
      <c r="AA8" s="18"/>
    </row>
    <row r="9" spans="1:27" x14ac:dyDescent="0.3">
      <c r="B9" t="s">
        <v>83</v>
      </c>
      <c r="C9" t="s">
        <v>84</v>
      </c>
      <c r="D9">
        <v>32</v>
      </c>
      <c r="F9">
        <f>1.56*F5</f>
        <v>378566956.42839628</v>
      </c>
      <c r="R9" s="16"/>
      <c r="S9" s="16"/>
      <c r="T9" s="16"/>
      <c r="U9" s="16"/>
      <c r="V9" s="18"/>
      <c r="Y9" s="16"/>
    </row>
    <row r="10" spans="1:27" x14ac:dyDescent="0.3">
      <c r="F10">
        <f>SUM(F5:F9)</f>
        <v>1892834782.1419811</v>
      </c>
      <c r="R10" s="16"/>
      <c r="S10" s="16"/>
      <c r="T10" s="16"/>
      <c r="U10" s="16"/>
      <c r="V10" s="18"/>
      <c r="Y10" s="16"/>
      <c r="Z10" s="18"/>
      <c r="AA10" s="18"/>
    </row>
    <row r="11" spans="1:27" x14ac:dyDescent="0.3">
      <c r="R11" s="16"/>
      <c r="S11" s="16"/>
      <c r="T11" s="16"/>
      <c r="U11" s="16"/>
      <c r="Y11" s="16"/>
    </row>
    <row r="12" spans="1:27" x14ac:dyDescent="0.3">
      <c r="A12" s="21"/>
      <c r="B12" s="83" t="s">
        <v>96</v>
      </c>
      <c r="C12" s="108"/>
      <c r="D12" s="108"/>
      <c r="E12" s="104"/>
      <c r="F12" s="89" t="s">
        <v>98</v>
      </c>
      <c r="G12" s="89"/>
      <c r="H12" s="17"/>
      <c r="J12" s="89" t="s">
        <v>101</v>
      </c>
      <c r="K12" s="89"/>
      <c r="L12" s="89"/>
      <c r="M12" s="89"/>
      <c r="N12" s="89"/>
      <c r="P12" s="89" t="s">
        <v>161</v>
      </c>
      <c r="Q12" s="89"/>
      <c r="R12" s="89"/>
      <c r="S12" s="89"/>
      <c r="T12" s="89"/>
      <c r="V12" s="89" t="s">
        <v>160</v>
      </c>
      <c r="W12" s="89"/>
      <c r="X12" s="89"/>
      <c r="Y12" s="89"/>
    </row>
    <row r="13" spans="1:27" x14ac:dyDescent="0.3">
      <c r="A13" s="22"/>
      <c r="C13" s="2" t="s">
        <v>90</v>
      </c>
      <c r="E13" s="23"/>
      <c r="J13" s="89" t="s">
        <v>129</v>
      </c>
      <c r="K13" s="89"/>
      <c r="L13" s="89"/>
      <c r="M13" s="89"/>
      <c r="N13" s="89"/>
      <c r="O13" s="89"/>
      <c r="P13" s="89"/>
      <c r="Q13" s="89"/>
      <c r="R13" s="89"/>
      <c r="S13" s="89"/>
      <c r="T13" s="89"/>
      <c r="U13" s="89"/>
      <c r="V13" s="89"/>
      <c r="W13" s="89"/>
      <c r="X13" s="89"/>
      <c r="Y13" s="89"/>
    </row>
    <row r="14" spans="1:27" ht="31.8" customHeight="1" x14ac:dyDescent="0.3">
      <c r="A14" s="22"/>
      <c r="B14" s="6"/>
      <c r="C14">
        <f>SUM(C15:C16)</f>
        <v>757133912.85679245</v>
      </c>
      <c r="D14" s="17" t="s">
        <v>65</v>
      </c>
      <c r="E14" s="2" t="s">
        <v>116</v>
      </c>
      <c r="F14" s="23"/>
      <c r="G14" s="19" t="s">
        <v>97</v>
      </c>
      <c r="H14" s="20">
        <f>C21*0.9</f>
        <v>688984289.36055255</v>
      </c>
      <c r="I14" s="20"/>
      <c r="L14" s="2" t="s">
        <v>177</v>
      </c>
      <c r="M14" s="2" t="s">
        <v>65</v>
      </c>
      <c r="N14" s="2" t="s">
        <v>116</v>
      </c>
      <c r="S14" s="2" t="s">
        <v>116</v>
      </c>
      <c r="T14" s="2"/>
      <c r="U14" s="2"/>
      <c r="V14" s="2"/>
      <c r="Y14" s="2" t="s">
        <v>116</v>
      </c>
    </row>
    <row r="15" spans="1:27" ht="28.8" customHeight="1" x14ac:dyDescent="0.3">
      <c r="A15" s="109" t="s">
        <v>121</v>
      </c>
      <c r="B15" t="s">
        <v>77</v>
      </c>
      <c r="C15">
        <f>E5/D5</f>
        <v>242671125.91563863</v>
      </c>
      <c r="D15">
        <f>C15*D5</f>
        <v>10677529540.288099</v>
      </c>
      <c r="E15" s="110">
        <f>SUM(C15:C16)/C22</f>
        <v>0.89919252421406326</v>
      </c>
      <c r="F15" s="23"/>
      <c r="G15" t="s">
        <v>99</v>
      </c>
      <c r="H15">
        <f>H14/3.12</f>
        <v>220828297.87197196</v>
      </c>
      <c r="K15" t="s">
        <v>102</v>
      </c>
      <c r="L15">
        <f>C15+(0.1*0.111*C15)-H15</f>
        <v>24536477.541330248</v>
      </c>
      <c r="M15">
        <f>L15*D5</f>
        <v>1079605011.818531</v>
      </c>
      <c r="N15" s="16">
        <f>L15/$L$19</f>
        <v>3.205128205128209E-2</v>
      </c>
      <c r="O15" s="117">
        <f>SUM(N15:N16)</f>
        <v>0.10000000000000007</v>
      </c>
      <c r="P15" s="9"/>
      <c r="Q15" t="s">
        <v>107</v>
      </c>
      <c r="R15">
        <f>0.111*L15</f>
        <v>2723549.0070876577</v>
      </c>
      <c r="S15" s="16">
        <f>R15/$R$19</f>
        <v>3.205128205128209E-2</v>
      </c>
      <c r="T15" s="115">
        <f>SUM(S15:S16)</f>
        <v>0.10000000000000006</v>
      </c>
      <c r="U15" s="116">
        <f>SUM(R15:R16)</f>
        <v>8497472.9021134879</v>
      </c>
      <c r="V15" s="27"/>
      <c r="W15" t="s">
        <v>111</v>
      </c>
      <c r="X15">
        <f>L15-R15</f>
        <v>21812928.534242589</v>
      </c>
      <c r="Y15" s="16">
        <f>X15/$X$19</f>
        <v>3.205128205128209E-2</v>
      </c>
      <c r="Z15" s="117">
        <f>SUM(Y15:Y16)</f>
        <v>0.10000000000000007</v>
      </c>
      <c r="AA15" s="44"/>
    </row>
    <row r="16" spans="1:27" x14ac:dyDescent="0.3">
      <c r="A16" s="109"/>
      <c r="B16" t="s">
        <v>79</v>
      </c>
      <c r="C16">
        <f>2.12*C15</f>
        <v>514462786.94115388</v>
      </c>
      <c r="D16">
        <f>C16*D6</f>
        <v>9265474792.8101826</v>
      </c>
      <c r="E16" s="110"/>
      <c r="F16" s="23"/>
      <c r="G16" t="s">
        <v>100</v>
      </c>
      <c r="H16">
        <f>2.12*H15</f>
        <v>468155991.48858058</v>
      </c>
      <c r="K16" t="s">
        <v>103</v>
      </c>
      <c r="L16">
        <f>C16+(0.1*0.111*C16)-H16</f>
        <v>52017332.387620091</v>
      </c>
      <c r="M16">
        <f t="shared" ref="M16:M18" si="0">L16*D6</f>
        <v>936832156.30103791</v>
      </c>
      <c r="N16" s="16">
        <f>L16/$L$19</f>
        <v>6.7948717948717985E-2</v>
      </c>
      <c r="O16" s="81"/>
      <c r="P16" s="9"/>
      <c r="Q16" t="s">
        <v>108</v>
      </c>
      <c r="R16">
        <f>0.111*L16</f>
        <v>5773923.8950258298</v>
      </c>
      <c r="S16" s="16">
        <f>R16/$R$19</f>
        <v>6.7948717948717971E-2</v>
      </c>
      <c r="T16" s="115"/>
      <c r="U16" s="116"/>
      <c r="V16" s="27"/>
      <c r="W16" t="s">
        <v>112</v>
      </c>
      <c r="X16">
        <f>L16-R16</f>
        <v>46243408.492594264</v>
      </c>
      <c r="Y16" s="16">
        <f>X16/$X$19</f>
        <v>6.7948717948717985E-2</v>
      </c>
      <c r="Z16" s="81"/>
      <c r="AA16" s="9"/>
    </row>
    <row r="17" spans="1:63" x14ac:dyDescent="0.3">
      <c r="A17" s="100" t="s">
        <v>117</v>
      </c>
      <c r="B17" s="26" t="s">
        <v>77</v>
      </c>
      <c r="C17" s="26">
        <f>0.111*0.1*C15</f>
        <v>2693649.4976635887</v>
      </c>
      <c r="D17" s="26">
        <f>C17*D5</f>
        <v>118520577.8971979</v>
      </c>
      <c r="E17" s="102">
        <f>SUM(C17:C18)/C22</f>
        <v>9.9810370187761038E-3</v>
      </c>
      <c r="F17" s="104">
        <f>SUM(C17:C18)</f>
        <v>8404186.432710398</v>
      </c>
      <c r="K17" t="s">
        <v>104</v>
      </c>
      <c r="L17">
        <f>(1*H15)</f>
        <v>220828297.87197196</v>
      </c>
      <c r="M17">
        <f t="shared" si="0"/>
        <v>6185400623.3939352</v>
      </c>
      <c r="N17" s="16">
        <f>L17/$L$19</f>
        <v>0.28846153846153844</v>
      </c>
      <c r="O17" s="117">
        <f>SUM(N17:N18)</f>
        <v>0.89999999999999991</v>
      </c>
      <c r="P17" s="9"/>
      <c r="Q17" t="s">
        <v>109</v>
      </c>
      <c r="R17">
        <f>0.111*L17</f>
        <v>24511941.063788887</v>
      </c>
      <c r="S17" s="16">
        <f>R17/$R$19</f>
        <v>0.28846153846153844</v>
      </c>
      <c r="T17" s="115">
        <f>SUM(S17:S18)</f>
        <v>0.89999999999999991</v>
      </c>
      <c r="U17" s="118">
        <f>SUM(R17:R18)</f>
        <v>76477256.119021326</v>
      </c>
      <c r="V17" s="28"/>
      <c r="W17" t="s">
        <v>113</v>
      </c>
      <c r="X17">
        <f>L17-R17</f>
        <v>196316356.80818307</v>
      </c>
      <c r="Y17" s="16">
        <f>X17/$X$19</f>
        <v>0.28846153846153844</v>
      </c>
      <c r="Z17" s="117">
        <f>SUM(Y17:Y18)</f>
        <v>0.89999999999999991</v>
      </c>
      <c r="AA17" s="44"/>
    </row>
    <row r="18" spans="1:63" x14ac:dyDescent="0.3">
      <c r="A18" s="101"/>
      <c r="B18" s="25" t="s">
        <v>79</v>
      </c>
      <c r="C18" s="25">
        <f>0.111*0.1*C16</f>
        <v>5710536.9350468088</v>
      </c>
      <c r="D18" s="26">
        <f>C18*D6</f>
        <v>102846770.20019303</v>
      </c>
      <c r="E18" s="103"/>
      <c r="F18" s="105"/>
      <c r="K18" t="s">
        <v>105</v>
      </c>
      <c r="L18">
        <f>(2.12*H15)</f>
        <v>468155991.48858058</v>
      </c>
      <c r="M18">
        <f t="shared" si="0"/>
        <v>940993542.89204693</v>
      </c>
      <c r="N18" s="16">
        <f>L18/$L$19</f>
        <v>0.61153846153846148</v>
      </c>
      <c r="O18" s="81"/>
      <c r="P18" s="9"/>
      <c r="Q18" t="s">
        <v>110</v>
      </c>
      <c r="R18">
        <f>0.111*L18</f>
        <v>51965315.055232443</v>
      </c>
      <c r="S18" s="16">
        <f>R18/$R$19</f>
        <v>0.61153846153846148</v>
      </c>
      <c r="T18" s="115"/>
      <c r="U18" s="118"/>
      <c r="V18" s="28"/>
      <c r="W18" t="s">
        <v>114</v>
      </c>
      <c r="X18">
        <f>L18-R18</f>
        <v>416190676.43334812</v>
      </c>
      <c r="Y18" s="16">
        <f>X18/$X$19</f>
        <v>0.61153846153846148</v>
      </c>
      <c r="Z18" s="81"/>
      <c r="AA18" s="9"/>
    </row>
    <row r="19" spans="1:63" x14ac:dyDescent="0.3">
      <c r="A19" s="100" t="s">
        <v>118</v>
      </c>
      <c r="B19" s="26" t="s">
        <v>81</v>
      </c>
      <c r="C19" s="26">
        <f>0.111*0.9*B26</f>
        <v>24511941.063788891</v>
      </c>
      <c r="D19" s="26">
        <f>C19*D7</f>
        <v>686579469.19672692</v>
      </c>
      <c r="E19" s="102">
        <f>SUM(C19:C20)/C22</f>
        <v>9.0826438767160664E-2</v>
      </c>
      <c r="F19" s="104">
        <f>SUM(C19:C20)</f>
        <v>76477256.119021341</v>
      </c>
      <c r="K19" s="2" t="s">
        <v>29</v>
      </c>
      <c r="L19">
        <f>SUM(L15:L18)</f>
        <v>765538099.28950286</v>
      </c>
      <c r="M19">
        <f>SUM(M15:M18)</f>
        <v>9142831334.4055519</v>
      </c>
      <c r="Q19" s="2" t="s">
        <v>29</v>
      </c>
      <c r="R19">
        <f>SUM(R15:R18)</f>
        <v>84974729.021134824</v>
      </c>
      <c r="W19" s="2" t="s">
        <v>115</v>
      </c>
      <c r="X19">
        <f>SUM(X15:X18)</f>
        <v>680563370.26836801</v>
      </c>
    </row>
    <row r="20" spans="1:63" x14ac:dyDescent="0.3">
      <c r="A20" s="101"/>
      <c r="B20" s="25" t="s">
        <v>20</v>
      </c>
      <c r="C20" s="25">
        <f>0.111*0.9*B27</f>
        <v>51965315.05523245</v>
      </c>
      <c r="D20" s="26">
        <f>C20*D8</f>
        <v>104450283.26101722</v>
      </c>
      <c r="E20" s="103"/>
      <c r="F20" s="105"/>
      <c r="K20" t="s">
        <v>106</v>
      </c>
      <c r="L20">
        <f>1.56*H15</f>
        <v>344492144.68027627</v>
      </c>
      <c r="M20">
        <f>L20*D9</f>
        <v>11023748629.768841</v>
      </c>
      <c r="N20" s="32">
        <f>L20/C22</f>
        <v>0.40912810255477772</v>
      </c>
    </row>
    <row r="21" spans="1:63" ht="28.8" x14ac:dyDescent="0.3">
      <c r="A21" s="112" t="s">
        <v>119</v>
      </c>
      <c r="B21" s="89"/>
      <c r="C21">
        <f>SUM(C15:C18)</f>
        <v>765538099.28950286</v>
      </c>
      <c r="D21">
        <f>SUM(D15:D18)</f>
        <v>20164371681.195671</v>
      </c>
      <c r="E21">
        <v>143.39236</v>
      </c>
      <c r="F21" s="23"/>
      <c r="K21" s="6" t="s">
        <v>122</v>
      </c>
      <c r="L21">
        <f>C21-H14</f>
        <v>76553809.92895031</v>
      </c>
      <c r="N21" s="33">
        <f>SUM(L15:L16)</f>
        <v>76553809.92895034</v>
      </c>
    </row>
    <row r="22" spans="1:63" x14ac:dyDescent="0.3">
      <c r="A22" s="97" t="s">
        <v>120</v>
      </c>
      <c r="B22" s="98"/>
      <c r="C22" s="24">
        <f>SUM(C15:C20)</f>
        <v>842015355.40852416</v>
      </c>
      <c r="D22" s="24">
        <f>SUM(D15:D20)</f>
        <v>20955401433.653416</v>
      </c>
      <c r="E22" s="34" t="s">
        <v>131</v>
      </c>
      <c r="F22" s="35">
        <f>(C15+C16)/0.8889</f>
        <v>851765004.90133023</v>
      </c>
      <c r="G22">
        <f>SUM(C15:C18)</f>
        <v>765538099.28950286</v>
      </c>
      <c r="AF22" t="s">
        <v>155</v>
      </c>
    </row>
    <row r="23" spans="1:63" x14ac:dyDescent="0.3">
      <c r="F23">
        <f>0.9*G22</f>
        <v>688984289.36055255</v>
      </c>
      <c r="AE23" t="s">
        <v>156</v>
      </c>
    </row>
    <row r="24" spans="1:63" x14ac:dyDescent="0.3">
      <c r="F24">
        <f>F23/3.12</f>
        <v>220828297.87197196</v>
      </c>
      <c r="AE24" t="s">
        <v>157</v>
      </c>
    </row>
    <row r="25" spans="1:63" x14ac:dyDescent="0.3">
      <c r="B25" s="3" t="s">
        <v>126</v>
      </c>
      <c r="C25" t="s">
        <v>125</v>
      </c>
      <c r="D25" t="s">
        <v>127</v>
      </c>
      <c r="E25" t="s">
        <v>128</v>
      </c>
      <c r="AE25" t="s">
        <v>158</v>
      </c>
    </row>
    <row r="26" spans="1:63" x14ac:dyDescent="0.3">
      <c r="A26" s="2" t="s">
        <v>123</v>
      </c>
      <c r="B26">
        <f>C15+C17</f>
        <v>245364775.41330221</v>
      </c>
      <c r="C26">
        <f>B26-H15</f>
        <v>24536477.541330248</v>
      </c>
      <c r="D26">
        <f>B26-C26</f>
        <v>220828297.87197196</v>
      </c>
      <c r="E26" s="16">
        <f>D26/B26</f>
        <v>0.89999999999999991</v>
      </c>
    </row>
    <row r="27" spans="1:63" x14ac:dyDescent="0.3">
      <c r="A27" s="2" t="s">
        <v>124</v>
      </c>
      <c r="B27">
        <f>C16+C18</f>
        <v>520173323.87620068</v>
      </c>
      <c r="C27">
        <f>B27-H16</f>
        <v>52017332.387620091</v>
      </c>
      <c r="D27">
        <f>B27-C27</f>
        <v>468155991.48858058</v>
      </c>
      <c r="E27" s="16">
        <f>D27/B27</f>
        <v>0.89999999999999991</v>
      </c>
      <c r="AE27" t="s">
        <v>191</v>
      </c>
      <c r="AF27">
        <v>12.01</v>
      </c>
      <c r="AG27" t="s">
        <v>192</v>
      </c>
      <c r="AH27">
        <v>1.01</v>
      </c>
      <c r="AI27" t="s">
        <v>137</v>
      </c>
    </row>
    <row r="28" spans="1:63" x14ac:dyDescent="0.3">
      <c r="AE28" s="21"/>
      <c r="AF28" s="26"/>
      <c r="AG28" s="26" t="s">
        <v>167</v>
      </c>
      <c r="AH28" s="46">
        <v>0.109</v>
      </c>
      <c r="AI28">
        <f>(3.67*AF27)+(9.34*AH27)</f>
        <v>53.510099999999994</v>
      </c>
      <c r="BE28" t="s">
        <v>201</v>
      </c>
    </row>
    <row r="29" spans="1:63" x14ac:dyDescent="0.3">
      <c r="AE29" s="22" t="s">
        <v>168</v>
      </c>
      <c r="AG29" t="s">
        <v>5</v>
      </c>
      <c r="AH29" s="23">
        <v>2.9700000000000001E-2</v>
      </c>
      <c r="AI29">
        <f>(11.67*AF27)+(25.34*AH27)</f>
        <v>165.7501</v>
      </c>
    </row>
    <row r="30" spans="1:63" x14ac:dyDescent="0.3">
      <c r="AE30" s="38"/>
      <c r="AF30" s="25"/>
      <c r="AG30" s="25" t="s">
        <v>7</v>
      </c>
      <c r="AH30" s="39">
        <v>1.11E-2</v>
      </c>
      <c r="AI30">
        <f>(22.67*AF27)+(47.34*AH27)</f>
        <v>320.08010000000002</v>
      </c>
      <c r="AX30" s="82" t="s">
        <v>188</v>
      </c>
      <c r="AY30" s="108"/>
      <c r="AZ30" s="37" t="s">
        <v>177</v>
      </c>
      <c r="BA30" t="s">
        <v>65</v>
      </c>
      <c r="BE30" s="89" t="s">
        <v>196</v>
      </c>
      <c r="BF30" s="89"/>
      <c r="BG30" s="89"/>
    </row>
    <row r="31" spans="1:63" ht="15" thickBot="1" x14ac:dyDescent="0.35">
      <c r="AX31" s="22" t="s">
        <v>189</v>
      </c>
      <c r="AY31" t="s">
        <v>193</v>
      </c>
      <c r="AZ31" s="23">
        <f>AZ40</f>
        <v>2405755.1771921134</v>
      </c>
      <c r="BA31">
        <f>AZ31*((3.67*$AF$27)+(9.34*$AH$27))</f>
        <v>128732200.10706769</v>
      </c>
      <c r="BB31" t="s">
        <v>194</v>
      </c>
      <c r="BE31" s="21" t="s">
        <v>81</v>
      </c>
      <c r="BF31" s="26" t="s">
        <v>197</v>
      </c>
      <c r="BG31" s="46">
        <f>3.67*AZ33</f>
        <v>74266270.642591789</v>
      </c>
      <c r="BK31" s="2" t="s">
        <v>202</v>
      </c>
    </row>
    <row r="32" spans="1:63" ht="15" thickBot="1" x14ac:dyDescent="0.35">
      <c r="A32" s="21"/>
      <c r="B32" s="83" t="s">
        <v>96</v>
      </c>
      <c r="C32" s="108"/>
      <c r="D32" s="108"/>
      <c r="E32" s="104"/>
      <c r="J32" s="89" t="s">
        <v>130</v>
      </c>
      <c r="K32" s="89"/>
      <c r="L32" s="89"/>
      <c r="M32" s="89"/>
      <c r="N32" s="89"/>
      <c r="O32" s="89"/>
      <c r="P32" s="89"/>
      <c r="Q32" s="89"/>
      <c r="R32" s="89"/>
      <c r="S32" s="89"/>
      <c r="T32" s="89"/>
      <c r="U32" s="89"/>
      <c r="V32" s="89"/>
      <c r="W32" s="89"/>
      <c r="X32" s="89"/>
      <c r="Y32" s="89"/>
      <c r="AB32" s="2"/>
      <c r="AC32" s="94" t="s">
        <v>204</v>
      </c>
      <c r="AD32" s="94"/>
      <c r="AE32" s="94"/>
      <c r="AF32" s="94"/>
      <c r="AG32" s="94"/>
      <c r="AH32" s="94"/>
      <c r="AI32" s="94"/>
      <c r="AJ32" s="94"/>
      <c r="AK32" s="94"/>
      <c r="AL32" s="94"/>
      <c r="AM32" s="94"/>
      <c r="AN32" s="94"/>
      <c r="AO32" s="95"/>
      <c r="AX32" s="22" t="s">
        <v>190</v>
      </c>
      <c r="AY32" t="s">
        <v>164</v>
      </c>
      <c r="AZ32" s="23">
        <f>AK36</f>
        <v>17830285.869835623</v>
      </c>
      <c r="BA32">
        <f>AZ32*((3.67*$AF$27)+(9.34*$AH$27))</f>
        <v>954100379.923491</v>
      </c>
      <c r="BE32" s="38" t="s">
        <v>20</v>
      </c>
      <c r="BF32" s="25" t="s">
        <v>198</v>
      </c>
      <c r="BG32" s="39">
        <f>12.01*AZ33</f>
        <v>243034852.97480312</v>
      </c>
    </row>
    <row r="33" spans="1:62" x14ac:dyDescent="0.3">
      <c r="A33" s="22"/>
      <c r="C33" s="2" t="s">
        <v>90</v>
      </c>
      <c r="E33" s="23"/>
      <c r="L33" s="2" t="s">
        <v>116</v>
      </c>
      <c r="M33" s="2" t="s">
        <v>65</v>
      </c>
      <c r="R33" s="2" t="s">
        <v>116</v>
      </c>
      <c r="S33" s="2" t="s">
        <v>65</v>
      </c>
      <c r="T33" s="2"/>
      <c r="X33" s="21"/>
      <c r="Y33" s="26"/>
      <c r="Z33" s="45" t="s">
        <v>116</v>
      </c>
      <c r="AA33" s="45"/>
      <c r="AB33" s="46"/>
      <c r="AX33" s="97" t="s">
        <v>195</v>
      </c>
      <c r="AY33" s="98"/>
      <c r="AZ33" s="39">
        <f>SUM(AZ31:AZ32)</f>
        <v>20236041.047027737</v>
      </c>
      <c r="BA33">
        <f>SUM(BA31:BA32)</f>
        <v>1082832580.0305586</v>
      </c>
      <c r="BE33" s="21" t="s">
        <v>84</v>
      </c>
      <c r="BF33" s="26" t="s">
        <v>199</v>
      </c>
      <c r="BG33" s="46">
        <f>(3.67/4)*AZ33</f>
        <v>18566567.660647947</v>
      </c>
    </row>
    <row r="34" spans="1:62" ht="14.4" customHeight="1" x14ac:dyDescent="0.3">
      <c r="A34" s="22"/>
      <c r="B34" s="6"/>
      <c r="C34">
        <f>SUM(C35:C36)</f>
        <v>757133912.85679245</v>
      </c>
      <c r="D34" s="17" t="s">
        <v>65</v>
      </c>
      <c r="E34" s="2" t="s">
        <v>116</v>
      </c>
      <c r="F34" s="23"/>
      <c r="H34" s="114" t="s">
        <v>213</v>
      </c>
      <c r="I34" s="114"/>
      <c r="K34" t="s">
        <v>102</v>
      </c>
      <c r="L34">
        <f>C35+(0.1*0.111*C35)-H15</f>
        <v>24536477.541330248</v>
      </c>
      <c r="M34">
        <f>L34*D5</f>
        <v>1079605011.818531</v>
      </c>
      <c r="N34" s="16">
        <f>L34/$L$38</f>
        <v>2.9140178244642316E-2</v>
      </c>
      <c r="O34" s="117">
        <f>SUM(N34:N35)</f>
        <v>9.0917356123283985E-2</v>
      </c>
      <c r="Q34" t="s">
        <v>107</v>
      </c>
      <c r="R34">
        <f>0.111*L34</f>
        <v>2723549.0070876577</v>
      </c>
      <c r="S34">
        <f>R34*D5</f>
        <v>119836156.31185694</v>
      </c>
      <c r="T34" s="16">
        <f>R34/$R$38</f>
        <v>2.9140178244642323E-2</v>
      </c>
      <c r="U34" s="115">
        <f>SUM(T34:T35)</f>
        <v>9.0917356123283999E-2</v>
      </c>
      <c r="V34" s="116">
        <f>SUM(R34:R35)</f>
        <v>8497472.9021134879</v>
      </c>
      <c r="X34" s="22" t="s">
        <v>111</v>
      </c>
      <c r="Y34">
        <f>L34-R34</f>
        <v>21812928.534242589</v>
      </c>
      <c r="Z34">
        <f>Y34*D5</f>
        <v>959768855.50667393</v>
      </c>
      <c r="AA34" s="47">
        <f>Y34/$Y$38</f>
        <v>2.9140178244642316E-2</v>
      </c>
      <c r="AB34" s="91">
        <f>SUM(AA34:AA35)</f>
        <v>9.0917356123283999E-2</v>
      </c>
      <c r="AD34" s="2" t="s">
        <v>159</v>
      </c>
      <c r="AI34" s="89" t="s">
        <v>176</v>
      </c>
      <c r="AJ34" s="89"/>
      <c r="AK34" s="89"/>
      <c r="AL34" s="89"/>
      <c r="AM34" s="89"/>
      <c r="BE34" s="38" t="s">
        <v>79</v>
      </c>
      <c r="BF34" s="25" t="s">
        <v>200</v>
      </c>
      <c r="BG34" s="39">
        <f>(3.67/2)*AZ33</f>
        <v>37133135.321295895</v>
      </c>
    </row>
    <row r="35" spans="1:62" x14ac:dyDescent="0.3">
      <c r="A35" s="109" t="s">
        <v>121</v>
      </c>
      <c r="B35" t="s">
        <v>77</v>
      </c>
      <c r="C35">
        <f>E5/D5</f>
        <v>242671125.91563863</v>
      </c>
      <c r="D35" s="2">
        <f>C35*D5</f>
        <v>10677529540.288099</v>
      </c>
      <c r="E35" s="110">
        <f>SUM(C35:C36)/C42</f>
        <v>0.89021758667710194</v>
      </c>
      <c r="F35" s="23"/>
      <c r="H35" s="114"/>
      <c r="I35" s="114"/>
      <c r="K35" t="s">
        <v>103</v>
      </c>
      <c r="L35">
        <f>C36+(0.1*0.111*C36)-H16</f>
        <v>52017332.387620091</v>
      </c>
      <c r="M35">
        <f>L35*D6</f>
        <v>936832156.30103791</v>
      </c>
      <c r="N35" s="16">
        <f>L35/$L$38</f>
        <v>6.1777177878641669E-2</v>
      </c>
      <c r="O35" s="81"/>
      <c r="Q35" t="s">
        <v>108</v>
      </c>
      <c r="R35">
        <f>0.111*L35</f>
        <v>5773923.8950258298</v>
      </c>
      <c r="S35">
        <f t="shared" ref="S35:S37" si="1">R35*D6</f>
        <v>103988369.3494152</v>
      </c>
      <c r="T35" s="16">
        <f>R35/$R$38</f>
        <v>6.1777177878641676E-2</v>
      </c>
      <c r="U35" s="115"/>
      <c r="V35" s="116"/>
      <c r="X35" s="22" t="s">
        <v>112</v>
      </c>
      <c r="Y35">
        <f>L35-R35</f>
        <v>46243408.492594264</v>
      </c>
      <c r="Z35">
        <f t="shared" ref="Z35:Z37" si="2">Y35*D6</f>
        <v>832843786.95162272</v>
      </c>
      <c r="AA35" s="47">
        <f>Y35/$Y$38</f>
        <v>6.1777177878641683E-2</v>
      </c>
      <c r="AB35" s="92"/>
      <c r="AJ35" s="89" t="s">
        <v>177</v>
      </c>
      <c r="AK35" s="89"/>
      <c r="AL35" s="89" t="s">
        <v>65</v>
      </c>
      <c r="AM35" s="89"/>
      <c r="AN35">
        <f>0.01*AM36</f>
        <v>9541003.7992349099</v>
      </c>
    </row>
    <row r="36" spans="1:62" ht="15" thickBot="1" x14ac:dyDescent="0.35">
      <c r="A36" s="109"/>
      <c r="B36" t="s">
        <v>79</v>
      </c>
      <c r="C36">
        <f>2.12*C35</f>
        <v>514462786.94115388</v>
      </c>
      <c r="D36" s="2">
        <f>C36*D6</f>
        <v>9265474792.8101826</v>
      </c>
      <c r="E36" s="110"/>
      <c r="F36" s="23"/>
      <c r="H36" s="114"/>
      <c r="I36" s="114"/>
      <c r="K36" t="s">
        <v>104</v>
      </c>
      <c r="L36">
        <f>(1*H15)+(0.111*H15)</f>
        <v>245340238.93576086</v>
      </c>
      <c r="M36">
        <f>L36*D7</f>
        <v>6871980092.590662</v>
      </c>
      <c r="N36" s="16">
        <f>L36/$L$38</f>
        <v>0.29137264226817816</v>
      </c>
      <c r="O36" s="117">
        <f>SUM(N36:N37)</f>
        <v>0.909082643876716</v>
      </c>
      <c r="Q36" t="s">
        <v>109</v>
      </c>
      <c r="R36" s="31">
        <f>0.111*L36</f>
        <v>27232766.521869455</v>
      </c>
      <c r="S36">
        <f t="shared" si="1"/>
        <v>762789790.27756345</v>
      </c>
      <c r="T36" s="16">
        <f>R36/$R$38</f>
        <v>0.29137264226817822</v>
      </c>
      <c r="U36" s="115">
        <f>SUM(T36:T37)</f>
        <v>0.90908264387671611</v>
      </c>
      <c r="V36" s="118">
        <f>SUM(R36:R37)</f>
        <v>84966231.548232704</v>
      </c>
      <c r="X36" s="22" t="s">
        <v>113</v>
      </c>
      <c r="Y36">
        <f>L36-R36</f>
        <v>218107472.4138914</v>
      </c>
      <c r="Z36">
        <f t="shared" si="2"/>
        <v>6109190302.3130989</v>
      </c>
      <c r="AA36" s="47">
        <f>Y36/$Y$38</f>
        <v>0.29137264226817822</v>
      </c>
      <c r="AB36" s="91">
        <f>SUM(AA36:AA37)</f>
        <v>0.90908264387671611</v>
      </c>
      <c r="AI36" s="21" t="s">
        <v>167</v>
      </c>
      <c r="AJ36" s="26" t="s">
        <v>164</v>
      </c>
      <c r="AK36" s="46">
        <f>AH28*AD44</f>
        <v>17830285.869835623</v>
      </c>
      <c r="AL36" s="21" t="s">
        <v>173</v>
      </c>
      <c r="AM36" s="46">
        <f>AK36*AI28</f>
        <v>954100379.923491</v>
      </c>
      <c r="AN36" t="s">
        <v>203</v>
      </c>
    </row>
    <row r="37" spans="1:62" ht="15" thickBot="1" x14ac:dyDescent="0.35">
      <c r="A37" s="100" t="s">
        <v>117</v>
      </c>
      <c r="B37" s="26" t="s">
        <v>77</v>
      </c>
      <c r="C37" s="26">
        <f>0.111*0.1*C35</f>
        <v>2693649.4976635887</v>
      </c>
      <c r="D37" s="26">
        <f>C37*D5</f>
        <v>118520577.8971979</v>
      </c>
      <c r="E37" s="102">
        <f>SUM(C37:C38)/C42</f>
        <v>9.8814152121158346E-3</v>
      </c>
      <c r="F37" s="104">
        <f>SUM(C37:C38)</f>
        <v>8404186.432710398</v>
      </c>
      <c r="H37" s="114"/>
      <c r="I37" s="114"/>
      <c r="K37" t="s">
        <v>105</v>
      </c>
      <c r="L37">
        <f>(2.12*H15)+(0.111*H16)</f>
        <v>520121306.54381305</v>
      </c>
      <c r="M37">
        <f>L37*D8</f>
        <v>1045443826.1530641</v>
      </c>
      <c r="N37" s="16">
        <f>L37/$L$38</f>
        <v>0.61771000160853784</v>
      </c>
      <c r="O37" s="81"/>
      <c r="Q37" t="s">
        <v>110</v>
      </c>
      <c r="R37" s="31">
        <f>0.111*L37</f>
        <v>57733465.026363246</v>
      </c>
      <c r="S37">
        <f t="shared" si="1"/>
        <v>116044264.70299011</v>
      </c>
      <c r="T37" s="16">
        <f>R37/$R$38</f>
        <v>0.61771000160853784</v>
      </c>
      <c r="U37" s="115"/>
      <c r="V37" s="118"/>
      <c r="X37" s="22" t="s">
        <v>114</v>
      </c>
      <c r="Y37">
        <f>L37-R37</f>
        <v>462387841.5174498</v>
      </c>
      <c r="Z37">
        <f t="shared" si="2"/>
        <v>929399561.45007396</v>
      </c>
      <c r="AA37" s="47">
        <f>Y37/$Y$38</f>
        <v>0.61771000160853784</v>
      </c>
      <c r="AB37" s="92"/>
      <c r="AI37" s="22" t="s">
        <v>5</v>
      </c>
      <c r="AJ37" t="s">
        <v>165</v>
      </c>
      <c r="AK37" s="23">
        <f>AH29*AD44</f>
        <v>4858343.948019431</v>
      </c>
      <c r="AL37" s="22" t="s">
        <v>174</v>
      </c>
      <c r="AM37" s="46">
        <f>AK37*AI29</f>
        <v>805270995.21861553</v>
      </c>
      <c r="AS37" s="2"/>
      <c r="AU37" s="93" t="s">
        <v>186</v>
      </c>
      <c r="AV37" s="94"/>
      <c r="AW37" s="94"/>
      <c r="AX37" s="94"/>
      <c r="AY37" s="94"/>
      <c r="AZ37" s="95"/>
      <c r="BA37" s="17"/>
    </row>
    <row r="38" spans="1:62" x14ac:dyDescent="0.3">
      <c r="A38" s="101"/>
      <c r="B38" s="25" t="s">
        <v>79</v>
      </c>
      <c r="C38" s="25">
        <f>0.111*0.1*C36</f>
        <v>5710536.9350468088</v>
      </c>
      <c r="D38" s="26">
        <f>C38*D6</f>
        <v>102846770.20019303</v>
      </c>
      <c r="E38" s="103"/>
      <c r="F38" s="105"/>
      <c r="H38" s="114"/>
      <c r="I38" s="114"/>
      <c r="K38" s="2" t="s">
        <v>29</v>
      </c>
      <c r="L38">
        <f>SUM(L34:L37)</f>
        <v>842015355.40852427</v>
      </c>
      <c r="M38">
        <f>SUM(M34:M37)</f>
        <v>9933861086.8632965</v>
      </c>
      <c r="Q38" s="2" t="s">
        <v>29</v>
      </c>
      <c r="R38">
        <f>SUM(R34:R37)</f>
        <v>93463704.450346187</v>
      </c>
      <c r="S38">
        <f>SUM(S34:S37)</f>
        <v>1102658580.6418257</v>
      </c>
      <c r="X38" s="48" t="s">
        <v>115</v>
      </c>
      <c r="Y38" s="25">
        <f>SUM(Y34:Y37)</f>
        <v>748551650.95817804</v>
      </c>
      <c r="Z38" s="25">
        <f>SUM(Z34:Z37)</f>
        <v>8831202506.2214699</v>
      </c>
      <c r="AA38" s="25"/>
      <c r="AB38" s="39"/>
      <c r="AI38" s="22" t="s">
        <v>7</v>
      </c>
      <c r="AJ38" t="s">
        <v>166</v>
      </c>
      <c r="AK38" s="23">
        <f>AH30*AD44</f>
        <v>1815744.707845646</v>
      </c>
      <c r="AL38" s="22" t="s">
        <v>175</v>
      </c>
      <c r="AM38" s="46">
        <f>AK38*AI30</f>
        <v>581183747.66170514</v>
      </c>
      <c r="AU38" s="112" t="s">
        <v>96</v>
      </c>
      <c r="AV38" s="90"/>
      <c r="AW38" s="112" t="s">
        <v>182</v>
      </c>
      <c r="AX38" s="89"/>
      <c r="AY38" s="89"/>
      <c r="AZ38" s="90"/>
      <c r="BA38" s="17"/>
    </row>
    <row r="39" spans="1:62" ht="28.8" x14ac:dyDescent="0.3">
      <c r="A39" s="100" t="s">
        <v>118</v>
      </c>
      <c r="B39" s="26" t="s">
        <v>81</v>
      </c>
      <c r="C39" s="29">
        <f>R36</f>
        <v>27232766.521869455</v>
      </c>
      <c r="D39" s="29">
        <f>C39*D7</f>
        <v>762789790.27756345</v>
      </c>
      <c r="E39" s="102">
        <f>SUM(C39:C40)/C42</f>
        <v>9.9900998110782208E-2</v>
      </c>
      <c r="F39" s="104">
        <f>SUM(C39:C40)</f>
        <v>84966231.548232704</v>
      </c>
      <c r="H39" s="114"/>
      <c r="I39" s="114"/>
      <c r="K39" t="s">
        <v>106</v>
      </c>
      <c r="L39">
        <f>1.56*H15</f>
        <v>344492144.68027627</v>
      </c>
      <c r="M39">
        <f>L39*D9</f>
        <v>11023748629.768841</v>
      </c>
      <c r="N39" s="32">
        <f>L39/C22</f>
        <v>0.40912810255477772</v>
      </c>
      <c r="Z39">
        <f>Z38+M39</f>
        <v>19854951135.990311</v>
      </c>
      <c r="AI39" s="38" t="s">
        <v>79</v>
      </c>
      <c r="AJ39" s="25" t="s">
        <v>169</v>
      </c>
      <c r="AK39" s="39">
        <f>1*AD44</f>
        <v>163580604.31041855</v>
      </c>
      <c r="AL39" s="38" t="s">
        <v>178</v>
      </c>
      <c r="AM39" s="39">
        <f>18*AK39</f>
        <v>2944450877.587534</v>
      </c>
      <c r="AU39" s="22"/>
      <c r="AV39" s="23"/>
      <c r="AW39" s="22"/>
      <c r="AX39" s="5" t="s">
        <v>187</v>
      </c>
      <c r="AY39" s="51" t="s">
        <v>65</v>
      </c>
      <c r="AZ39" s="52" t="s">
        <v>177</v>
      </c>
      <c r="BA39" s="2"/>
      <c r="BH39" s="89" t="s">
        <v>21</v>
      </c>
      <c r="BI39" s="89"/>
    </row>
    <row r="40" spans="1:62" ht="28.8" x14ac:dyDescent="0.3">
      <c r="A40" s="101"/>
      <c r="B40" s="25" t="s">
        <v>20</v>
      </c>
      <c r="C40" s="30">
        <f>R37</f>
        <v>57733465.026363246</v>
      </c>
      <c r="D40" s="30">
        <f>C40*D8</f>
        <v>116044264.70299011</v>
      </c>
      <c r="E40" s="103"/>
      <c r="F40" s="105"/>
      <c r="H40" s="114"/>
      <c r="I40" s="114"/>
      <c r="K40" s="6" t="s">
        <v>122</v>
      </c>
      <c r="L40">
        <f>C21-H14</f>
        <v>76553809.92895031</v>
      </c>
      <c r="M40">
        <f>SUM(M38:M39)</f>
        <v>20957609716.632137</v>
      </c>
      <c r="N40" s="33">
        <f>SUM(L34:L35)</f>
        <v>76553809.92895034</v>
      </c>
      <c r="AI40" s="36" t="s">
        <v>170</v>
      </c>
      <c r="AJ40" s="45"/>
      <c r="AK40" s="37"/>
      <c r="AU40" s="22" t="s">
        <v>175</v>
      </c>
      <c r="AV40" s="23">
        <f>AM38</f>
        <v>581183747.66170514</v>
      </c>
      <c r="AW40" s="22" t="s">
        <v>183</v>
      </c>
      <c r="AX40">
        <v>0.2215</v>
      </c>
      <c r="AY40" s="23">
        <f>AX40*$AV$40</f>
        <v>128732200.10706769</v>
      </c>
      <c r="AZ40" s="41">
        <f>AY40/AI28</f>
        <v>2405755.1771921134</v>
      </c>
      <c r="BI40" t="s">
        <v>65</v>
      </c>
    </row>
    <row r="41" spans="1:62" x14ac:dyDescent="0.3">
      <c r="A41" s="112" t="s">
        <v>119</v>
      </c>
      <c r="B41" s="89"/>
      <c r="C41">
        <f>SUM(C35:C38)</f>
        <v>765538099.28950286</v>
      </c>
      <c r="D41">
        <f>SUM(D35:D38)</f>
        <v>20164371681.195671</v>
      </c>
      <c r="E41">
        <v>143.39236</v>
      </c>
      <c r="F41" s="23"/>
      <c r="H41" s="114"/>
      <c r="I41" s="114"/>
      <c r="AI41" s="22" t="s">
        <v>81</v>
      </c>
      <c r="AJ41" t="s">
        <v>171</v>
      </c>
      <c r="AK41" s="23">
        <f>0.25*Y36</f>
        <v>54526868.103472851</v>
      </c>
      <c r="AU41" s="22" t="s">
        <v>181</v>
      </c>
      <c r="AV41" s="23">
        <f>0.031*AV40</f>
        <v>18016696.177512858</v>
      </c>
      <c r="AW41" s="22" t="s">
        <v>184</v>
      </c>
      <c r="AX41">
        <v>0.61019999999999996</v>
      </c>
      <c r="AY41" s="23">
        <f t="shared" ref="AY41:AY42" si="3">AX41*$AV$40</f>
        <v>354638322.82317245</v>
      </c>
      <c r="AZ41" s="41">
        <f>AY41/AI29</f>
        <v>2139596.4335657866</v>
      </c>
      <c r="BG41" t="s">
        <v>206</v>
      </c>
      <c r="BH41" t="s">
        <v>205</v>
      </c>
      <c r="BI41">
        <f>AM37+AY41</f>
        <v>1159909318.0417881</v>
      </c>
    </row>
    <row r="42" spans="1:62" x14ac:dyDescent="0.3">
      <c r="A42" s="97" t="s">
        <v>120</v>
      </c>
      <c r="B42" s="98"/>
      <c r="C42" s="24">
        <f>SUM(C35:C40)</f>
        <v>850504330.83773553</v>
      </c>
      <c r="D42" s="24">
        <f>SUM(D35:D40)</f>
        <v>21043205736.176228</v>
      </c>
      <c r="E42" s="34" t="s">
        <v>131</v>
      </c>
      <c r="F42" s="35">
        <f>(C35+C36)/0.8889</f>
        <v>851765004.90133023</v>
      </c>
      <c r="H42" s="114"/>
      <c r="I42" s="114"/>
      <c r="AB42" s="85" t="s">
        <v>98</v>
      </c>
      <c r="AC42" s="86"/>
      <c r="AD42" s="86"/>
      <c r="AE42" s="86"/>
      <c r="AF42" s="113"/>
      <c r="AI42" s="38" t="s">
        <v>20</v>
      </c>
      <c r="AJ42" s="25" t="s">
        <v>172</v>
      </c>
      <c r="AK42" s="39">
        <f>Y37-AD45</f>
        <v>110689542.25004995</v>
      </c>
      <c r="AU42" s="38"/>
      <c r="AV42" s="39"/>
      <c r="AW42" s="38" t="s">
        <v>185</v>
      </c>
      <c r="AX42" s="25">
        <v>0.16839999999999999</v>
      </c>
      <c r="AY42" s="39">
        <f t="shared" si="3"/>
        <v>97871343.106231138</v>
      </c>
      <c r="AZ42" s="42">
        <f>AY42/AI30</f>
        <v>305771.40880120674</v>
      </c>
      <c r="BG42" t="s">
        <v>207</v>
      </c>
      <c r="BH42" t="s">
        <v>208</v>
      </c>
      <c r="BI42">
        <f>0.01*AM36</f>
        <v>9541003.7992349099</v>
      </c>
      <c r="BJ42" t="s">
        <v>209</v>
      </c>
    </row>
    <row r="43" spans="1:62" x14ac:dyDescent="0.3">
      <c r="AB43" s="36"/>
      <c r="AC43" s="83" t="s">
        <v>177</v>
      </c>
      <c r="AD43" s="84"/>
      <c r="AE43" s="82" t="s">
        <v>65</v>
      </c>
      <c r="AF43" s="84"/>
      <c r="AW43">
        <f>SUM(AY40:AY42)</f>
        <v>581241866.03647125</v>
      </c>
      <c r="AX43">
        <f>SUM(AZ40:AZ42)</f>
        <v>4851123.0195591068</v>
      </c>
      <c r="BG43" t="s">
        <v>210</v>
      </c>
      <c r="BH43" t="s">
        <v>211</v>
      </c>
      <c r="BI43">
        <f>AY42</f>
        <v>97871343.106231138</v>
      </c>
    </row>
    <row r="44" spans="1:62" ht="28.8" x14ac:dyDescent="0.3">
      <c r="AB44" s="49" t="s">
        <v>81</v>
      </c>
      <c r="AC44" s="5" t="s">
        <v>162</v>
      </c>
      <c r="AD44">
        <f>0.75*Y36</f>
        <v>163580604.31041855</v>
      </c>
      <c r="AE44" s="22" t="s">
        <v>179</v>
      </c>
      <c r="AF44" s="23">
        <f>28.01*AD44</f>
        <v>4581892726.7348242</v>
      </c>
    </row>
    <row r="45" spans="1:62" ht="43.2" x14ac:dyDescent="0.3">
      <c r="B45" t="s">
        <v>212</v>
      </c>
      <c r="AB45" s="38" t="s">
        <v>20</v>
      </c>
      <c r="AC45" s="50" t="s">
        <v>163</v>
      </c>
      <c r="AD45" s="25">
        <f>2.15*AD44</f>
        <v>351698299.26739985</v>
      </c>
      <c r="AE45" s="38" t="s">
        <v>180</v>
      </c>
      <c r="AF45" s="39">
        <f>2.01*AD45</f>
        <v>706913581.52747357</v>
      </c>
    </row>
  </sheetData>
  <mergeCells count="60">
    <mergeCell ref="BH39:BI39"/>
    <mergeCell ref="AC32:AO32"/>
    <mergeCell ref="H34:I42"/>
    <mergeCell ref="AX30:AY30"/>
    <mergeCell ref="BE30:BG30"/>
    <mergeCell ref="AX33:AY33"/>
    <mergeCell ref="AW38:AZ38"/>
    <mergeCell ref="AU37:AZ37"/>
    <mergeCell ref="AU38:AV38"/>
    <mergeCell ref="AI34:AM34"/>
    <mergeCell ref="AJ35:AK35"/>
    <mergeCell ref="AL35:AM35"/>
    <mergeCell ref="AB34:AB35"/>
    <mergeCell ref="AB36:AB37"/>
    <mergeCell ref="AE43:AF43"/>
    <mergeCell ref="AB42:AF42"/>
    <mergeCell ref="AC43:AD43"/>
    <mergeCell ref="A39:A40"/>
    <mergeCell ref="E39:E40"/>
    <mergeCell ref="F39:F40"/>
    <mergeCell ref="A41:B41"/>
    <mergeCell ref="A42:B42"/>
    <mergeCell ref="B32:E32"/>
    <mergeCell ref="A35:A36"/>
    <mergeCell ref="E35:E36"/>
    <mergeCell ref="A37:A38"/>
    <mergeCell ref="E37:E38"/>
    <mergeCell ref="Z17:Z18"/>
    <mergeCell ref="Z15:Z16"/>
    <mergeCell ref="T15:T16"/>
    <mergeCell ref="U17:U18"/>
    <mergeCell ref="F37:F38"/>
    <mergeCell ref="O34:O35"/>
    <mergeCell ref="O36:O37"/>
    <mergeCell ref="F17:F18"/>
    <mergeCell ref="F19:F20"/>
    <mergeCell ref="J32:Y32"/>
    <mergeCell ref="U34:U35"/>
    <mergeCell ref="V34:V35"/>
    <mergeCell ref="U36:U37"/>
    <mergeCell ref="V36:V37"/>
    <mergeCell ref="A19:A20"/>
    <mergeCell ref="A21:B21"/>
    <mergeCell ref="A22:B22"/>
    <mergeCell ref="A15:A16"/>
    <mergeCell ref="E15:E16"/>
    <mergeCell ref="E17:E18"/>
    <mergeCell ref="E19:E20"/>
    <mergeCell ref="B3:F3"/>
    <mergeCell ref="F12:G12"/>
    <mergeCell ref="B12:E12"/>
    <mergeCell ref="A17:A18"/>
    <mergeCell ref="J13:Y13"/>
    <mergeCell ref="J12:N12"/>
    <mergeCell ref="P12:T12"/>
    <mergeCell ref="V12:Y12"/>
    <mergeCell ref="T17:T18"/>
    <mergeCell ref="U15:U16"/>
    <mergeCell ref="O15:O16"/>
    <mergeCell ref="O17:O18"/>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A0634-553E-4E58-A4D8-DF3E168BF8DB}">
  <dimension ref="A1:N16"/>
  <sheetViews>
    <sheetView workbookViewId="0">
      <selection activeCell="D26" sqref="D26"/>
    </sheetView>
  </sheetViews>
  <sheetFormatPr defaultRowHeight="14.4" x14ac:dyDescent="0.3"/>
  <cols>
    <col min="1" max="1" width="12.5546875" customWidth="1"/>
    <col min="2" max="2" width="11" customWidth="1"/>
    <col min="3" max="3" width="19.21875" customWidth="1"/>
    <col min="4" max="4" width="12" bestFit="1" customWidth="1"/>
    <col min="5" max="5" width="10.44140625" customWidth="1"/>
    <col min="7" max="7" width="12" bestFit="1" customWidth="1"/>
    <col min="9" max="9" width="11.88671875" customWidth="1"/>
    <col min="10" max="10" width="11.6640625" customWidth="1"/>
    <col min="13" max="13" width="5.5546875" customWidth="1"/>
    <col min="14" max="14" width="16.88671875" customWidth="1"/>
    <col min="15" max="15" width="12" bestFit="1" customWidth="1"/>
  </cols>
  <sheetData>
    <row r="1" spans="1:14" x14ac:dyDescent="0.3">
      <c r="A1" t="s">
        <v>40</v>
      </c>
      <c r="B1" t="s">
        <v>65</v>
      </c>
      <c r="C1" t="s">
        <v>254</v>
      </c>
      <c r="D1" t="s">
        <v>44</v>
      </c>
    </row>
    <row r="2" spans="1:14" x14ac:dyDescent="0.3">
      <c r="A2" s="2" t="s">
        <v>251</v>
      </c>
      <c r="B2">
        <v>2000</v>
      </c>
      <c r="C2">
        <v>5276061760.6020002</v>
      </c>
      <c r="D2">
        <v>4772803023.8389997</v>
      </c>
    </row>
    <row r="3" spans="1:14" x14ac:dyDescent="0.3">
      <c r="A3" s="2" t="s">
        <v>252</v>
      </c>
      <c r="B3">
        <v>295.03368799999998</v>
      </c>
      <c r="C3">
        <v>778305395.78600001</v>
      </c>
      <c r="D3">
        <v>704066501.68799996</v>
      </c>
    </row>
    <row r="4" spans="1:14" x14ac:dyDescent="0.3">
      <c r="A4" s="2" t="s">
        <v>253</v>
      </c>
      <c r="B4">
        <f>B3/B2</f>
        <v>0.14751684399999998</v>
      </c>
      <c r="C4">
        <f>C3/C2</f>
        <v>0.14751635426215995</v>
      </c>
      <c r="D4">
        <f>D3/D2</f>
        <v>0.14751635426213017</v>
      </c>
    </row>
    <row r="5" spans="1:14" x14ac:dyDescent="0.3">
      <c r="A5" s="2"/>
      <c r="F5" s="2"/>
      <c r="H5" s="6"/>
      <c r="I5" s="6"/>
      <c r="J5" s="6"/>
      <c r="K5" s="2"/>
    </row>
    <row r="6" spans="1:14" x14ac:dyDescent="0.3">
      <c r="N6" s="5"/>
    </row>
    <row r="7" spans="1:14" x14ac:dyDescent="0.3">
      <c r="N7" s="5"/>
    </row>
    <row r="8" spans="1:14" x14ac:dyDescent="0.3">
      <c r="N8" s="5"/>
    </row>
    <row r="14" spans="1:14" x14ac:dyDescent="0.3">
      <c r="A14" s="89"/>
      <c r="B14" s="89"/>
      <c r="C14" s="89"/>
      <c r="D14" s="89"/>
    </row>
    <row r="15" spans="1:14" x14ac:dyDescent="0.3">
      <c r="A15" s="89"/>
      <c r="B15" s="89"/>
      <c r="C15" s="89"/>
      <c r="D15" s="5"/>
      <c r="E15" s="5"/>
      <c r="F15" s="5"/>
    </row>
    <row r="16" spans="1:14" x14ac:dyDescent="0.3">
      <c r="A16" s="5"/>
      <c r="B16" s="5"/>
      <c r="C16" s="5"/>
      <c r="D16" s="5"/>
      <c r="E16" s="5"/>
      <c r="M16" s="7"/>
    </row>
  </sheetData>
  <mergeCells count="2">
    <mergeCell ref="A14:D14"/>
    <mergeCell ref="A15:C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2AB8A-1F54-4BCF-BAD1-10A54250C757}">
  <dimension ref="A1:BW159"/>
  <sheetViews>
    <sheetView zoomScale="90" zoomScaleNormal="90" workbookViewId="0">
      <selection activeCell="F41" sqref="F41"/>
    </sheetView>
  </sheetViews>
  <sheetFormatPr defaultRowHeight="14.4" x14ac:dyDescent="0.3"/>
  <cols>
    <col min="2" max="2" width="9.109375" bestFit="1" customWidth="1"/>
    <col min="3" max="3" width="9.109375" customWidth="1"/>
    <col min="4" max="6" width="9.109375" bestFit="1" customWidth="1"/>
    <col min="26" max="26" width="11.77734375" bestFit="1" customWidth="1"/>
    <col min="28" max="28" width="11.77734375" bestFit="1" customWidth="1"/>
    <col min="35" max="35" width="11.77734375" bestFit="1" customWidth="1"/>
    <col min="37" max="37" width="12.88671875" bestFit="1" customWidth="1"/>
    <col min="47" max="47" width="12.21875" bestFit="1" customWidth="1"/>
    <col min="49" max="49" width="12.21875" bestFit="1" customWidth="1"/>
    <col min="60" max="62" width="11.77734375" bestFit="1" customWidth="1"/>
    <col min="72" max="72" width="12.88671875" bestFit="1" customWidth="1"/>
  </cols>
  <sheetData>
    <row r="1" spans="1:75" x14ac:dyDescent="0.3">
      <c r="A1" t="s">
        <v>59</v>
      </c>
      <c r="AS1" t="s">
        <v>66</v>
      </c>
      <c r="BF1" t="s">
        <v>71</v>
      </c>
      <c r="BG1" t="s">
        <v>70</v>
      </c>
      <c r="BQ1">
        <v>2019</v>
      </c>
    </row>
    <row r="2" spans="1:75" x14ac:dyDescent="0.3">
      <c r="B2" s="89" t="s">
        <v>56</v>
      </c>
      <c r="C2" s="89"/>
      <c r="D2" s="89" t="s">
        <v>57</v>
      </c>
      <c r="E2" s="81"/>
      <c r="W2" t="s">
        <v>58</v>
      </c>
      <c r="Y2" s="89" t="s">
        <v>56</v>
      </c>
      <c r="Z2" s="81"/>
      <c r="AA2" s="89" t="s">
        <v>57</v>
      </c>
      <c r="AB2" s="89"/>
      <c r="AT2" s="2" t="s">
        <v>67</v>
      </c>
      <c r="AV2" s="2" t="s">
        <v>62</v>
      </c>
      <c r="BG2" s="81" t="s">
        <v>61</v>
      </c>
      <c r="BH2" s="81"/>
      <c r="BQ2" s="81" t="s">
        <v>72</v>
      </c>
      <c r="BR2" s="81"/>
      <c r="BS2" s="81" t="s">
        <v>73</v>
      </c>
      <c r="BT2" s="81"/>
    </row>
    <row r="3" spans="1:75" x14ac:dyDescent="0.3">
      <c r="C3" t="s">
        <v>41</v>
      </c>
      <c r="D3" t="s">
        <v>42</v>
      </c>
      <c r="E3" t="s">
        <v>41</v>
      </c>
      <c r="M3" t="s">
        <v>41</v>
      </c>
      <c r="X3" s="2" t="s">
        <v>55</v>
      </c>
      <c r="Z3" t="s">
        <v>41</v>
      </c>
      <c r="AA3" t="s">
        <v>42</v>
      </c>
      <c r="AB3" t="s">
        <v>41</v>
      </c>
      <c r="AD3" t="s">
        <v>63</v>
      </c>
      <c r="AE3" t="s">
        <v>64</v>
      </c>
      <c r="AT3" s="2"/>
      <c r="AU3" t="s">
        <v>68</v>
      </c>
      <c r="AV3" t="s">
        <v>42</v>
      </c>
      <c r="AW3" t="s">
        <v>41</v>
      </c>
      <c r="AY3" t="s">
        <v>69</v>
      </c>
      <c r="AZ3" t="s">
        <v>64</v>
      </c>
      <c r="BH3" t="s">
        <v>41</v>
      </c>
      <c r="BI3" t="s">
        <v>42</v>
      </c>
      <c r="BJ3" t="s">
        <v>41</v>
      </c>
      <c r="BL3" t="s">
        <v>64</v>
      </c>
      <c r="BM3" t="s">
        <v>63</v>
      </c>
      <c r="BR3" t="s">
        <v>41</v>
      </c>
      <c r="BS3" t="s">
        <v>42</v>
      </c>
      <c r="BT3" t="s">
        <v>65</v>
      </c>
      <c r="BV3" t="s">
        <v>74</v>
      </c>
      <c r="BW3" t="s">
        <v>63</v>
      </c>
    </row>
    <row r="4" spans="1:75" x14ac:dyDescent="0.3">
      <c r="A4" t="s">
        <v>43</v>
      </c>
      <c r="B4">
        <v>3.5798000000000001</v>
      </c>
      <c r="C4">
        <f t="shared" ref="C4:C35" si="0">B4*1000000000</f>
        <v>3579800000</v>
      </c>
      <c r="D4">
        <v>1255167.2229826192</v>
      </c>
      <c r="E4">
        <f t="shared" ref="E4:E35" si="1">D4*807.5</f>
        <v>1013547532.558465</v>
      </c>
      <c r="H4" s="8">
        <f>(C4-E4)/E4</f>
        <v>2.53195078178882</v>
      </c>
      <c r="L4">
        <v>2</v>
      </c>
      <c r="M4">
        <f t="shared" ref="M4:M15" si="2">L4*1000000000</f>
        <v>2000000000</v>
      </c>
      <c r="N4">
        <v>708562</v>
      </c>
      <c r="O4">
        <f t="shared" ref="O4:O15" si="3">N4*807.5</f>
        <v>572163815</v>
      </c>
      <c r="Q4">
        <f>(M4-O4)/O4</f>
        <v>2.4955024200542986</v>
      </c>
      <c r="X4" s="10"/>
      <c r="Y4" s="10">
        <v>4.9832999999999998</v>
      </c>
      <c r="Z4" s="11">
        <f>Y4*10^9</f>
        <v>4983300000</v>
      </c>
      <c r="AA4">
        <v>1753185.1856499165</v>
      </c>
      <c r="AB4" s="11">
        <f>AA4*807.5</f>
        <v>1415697037.4123075</v>
      </c>
      <c r="AD4" s="8">
        <f>(Z4-AB4)/AB4</f>
        <v>2.5200327953703727</v>
      </c>
      <c r="AE4" s="8">
        <f>Z4/AB4</f>
        <v>3.5200327953703727</v>
      </c>
      <c r="AT4">
        <v>4.1856</v>
      </c>
      <c r="AU4" s="11">
        <f>AT4*10^9</f>
        <v>4185600000</v>
      </c>
      <c r="AV4">
        <v>1255167.2229826192</v>
      </c>
      <c r="AW4" s="11">
        <f>AV4*807.5</f>
        <v>1013547532.558465</v>
      </c>
      <c r="AY4" s="11">
        <f>(AU4-AW4)/AW4</f>
        <v>3.1296533862940068</v>
      </c>
      <c r="AZ4" s="11">
        <f>AU4/AW4</f>
        <v>4.1296533862940068</v>
      </c>
      <c r="BG4">
        <v>2.9674999999999998</v>
      </c>
      <c r="BH4" s="11">
        <f>BG4*10^10</f>
        <v>29674999999.999996</v>
      </c>
      <c r="BI4">
        <v>1255167.2229826192</v>
      </c>
      <c r="BJ4" s="11">
        <f>BI4*807.5</f>
        <v>1013547532.558465</v>
      </c>
      <c r="BL4" s="11">
        <f>BH4/BJ4</f>
        <v>29.278350592095432</v>
      </c>
      <c r="BM4" s="11">
        <f>(BH4-BJ4)/BJ4</f>
        <v>28.278350592095432</v>
      </c>
      <c r="BQ4">
        <v>0.97070000000000001</v>
      </c>
      <c r="BR4" s="11">
        <f>BQ4*10^10</f>
        <v>9707000000</v>
      </c>
      <c r="BS4">
        <v>678195.19306318939</v>
      </c>
      <c r="BT4" s="11">
        <f>BS4*807.5</f>
        <v>547642618.39852548</v>
      </c>
      <c r="BV4" s="11">
        <f>BR4/BT4</f>
        <v>17.72506315959528</v>
      </c>
      <c r="BW4" s="11">
        <f>(BR4-BT4)/BT4</f>
        <v>16.72506315959528</v>
      </c>
    </row>
    <row r="5" spans="1:75" x14ac:dyDescent="0.3">
      <c r="A5" t="s">
        <v>44</v>
      </c>
      <c r="B5">
        <v>3.2383999999999999</v>
      </c>
      <c r="C5">
        <f t="shared" si="0"/>
        <v>3238400000</v>
      </c>
      <c r="D5">
        <v>1135444.2384195568</v>
      </c>
      <c r="E5">
        <f t="shared" si="1"/>
        <v>916871222.52379203</v>
      </c>
      <c r="H5" s="8">
        <f t="shared" ref="H5:H35" si="4">(C5-E5)/E5</f>
        <v>2.5320118250477277</v>
      </c>
      <c r="L5">
        <v>1.8</v>
      </c>
      <c r="M5">
        <f t="shared" si="2"/>
        <v>1800000000</v>
      </c>
      <c r="N5">
        <v>641000</v>
      </c>
      <c r="O5">
        <f t="shared" si="3"/>
        <v>517607500</v>
      </c>
      <c r="X5" s="10"/>
      <c r="Y5" s="10">
        <v>4.5079000000000002</v>
      </c>
      <c r="Z5" s="11">
        <f t="shared" ref="Z5:Z68" si="5">Y5*10^9</f>
        <v>4507900000</v>
      </c>
      <c r="AA5">
        <v>1585959.2104376389</v>
      </c>
      <c r="AB5" s="11">
        <f t="shared" ref="AB5:AB68" si="6">AA5*807.5</f>
        <v>1280662062.4283934</v>
      </c>
      <c r="AD5" s="8">
        <f t="shared" ref="AD5:AD68" si="7">(Z5-AB5)/AB5</f>
        <v>2.5199762156240602</v>
      </c>
      <c r="AE5" s="8">
        <f t="shared" ref="AE5:AE68" si="8">Z5/AB5</f>
        <v>3.5199762156240602</v>
      </c>
      <c r="AH5" s="2" t="s">
        <v>60</v>
      </c>
      <c r="AT5">
        <v>3.7864</v>
      </c>
      <c r="AU5" s="11">
        <f t="shared" ref="AU5:AU68" si="9">AT5*10^9</f>
        <v>3786400000</v>
      </c>
      <c r="AV5">
        <v>1135444.2384195568</v>
      </c>
      <c r="AW5" s="11">
        <f t="shared" ref="AW5:AW68" si="10">AV5*807.5</f>
        <v>916871222.52379203</v>
      </c>
      <c r="AY5" s="11">
        <f t="shared" ref="AY5:AY68" si="11">(AU5-AW5)/AW5</f>
        <v>3.1296966323989364</v>
      </c>
      <c r="AZ5" s="11">
        <f t="shared" ref="AZ5:AZ68" si="12">AU5/AW5</f>
        <v>4.1296966323989368</v>
      </c>
      <c r="BG5">
        <v>2.6844999999999999</v>
      </c>
      <c r="BH5" s="11">
        <f t="shared" ref="BH5:BH68" si="13">BG5*10^10</f>
        <v>26845000000</v>
      </c>
      <c r="BI5">
        <v>1135444.2384195568</v>
      </c>
      <c r="BJ5" s="11">
        <f t="shared" ref="BJ5:BJ68" si="14">BI5*807.5</f>
        <v>916871222.52379203</v>
      </c>
      <c r="BL5" s="11">
        <f t="shared" ref="BL5:BL68" si="15">BH5/BJ5</f>
        <v>29.278920900261319</v>
      </c>
      <c r="BM5" s="11">
        <f t="shared" ref="BM5:BM68" si="16">(BH5-BJ5)/BJ5</f>
        <v>28.278920900261319</v>
      </c>
      <c r="BQ5">
        <v>0.87809999999999999</v>
      </c>
      <c r="BR5" s="11">
        <f t="shared" ref="BR5:BR15" si="17">BQ5*10^10</f>
        <v>8781000000</v>
      </c>
      <c r="BS5">
        <v>613506.16108153469</v>
      </c>
      <c r="BT5" s="11">
        <f t="shared" ref="BT5:BT15" si="18">BS5*807.5</f>
        <v>495406225.07333928</v>
      </c>
      <c r="BV5" s="11">
        <f t="shared" ref="BV5:BV15" si="19">BR5/BT5</f>
        <v>17.724847923943774</v>
      </c>
      <c r="BW5" s="11">
        <f t="shared" ref="BW5:BW15" si="20">(BR5-BT5)/BT5</f>
        <v>16.724847923943774</v>
      </c>
    </row>
    <row r="6" spans="1:75" x14ac:dyDescent="0.3">
      <c r="A6" t="s">
        <v>45</v>
      </c>
      <c r="B6">
        <v>3.6903999999999999</v>
      </c>
      <c r="C6">
        <f t="shared" si="0"/>
        <v>3690400000</v>
      </c>
      <c r="D6">
        <v>1293913.5777147538</v>
      </c>
      <c r="E6">
        <f t="shared" si="1"/>
        <v>1044835214.0046637</v>
      </c>
      <c r="H6" s="8">
        <f t="shared" si="4"/>
        <v>2.532040220826179</v>
      </c>
      <c r="L6">
        <v>2.1</v>
      </c>
      <c r="M6">
        <f t="shared" si="2"/>
        <v>2100000000</v>
      </c>
      <c r="N6">
        <v>730000</v>
      </c>
      <c r="O6">
        <f t="shared" si="3"/>
        <v>589475000</v>
      </c>
      <c r="X6" s="10"/>
      <c r="Y6" s="10">
        <v>5.1371000000000002</v>
      </c>
      <c r="Z6" s="11">
        <f t="shared" si="5"/>
        <v>5137100000</v>
      </c>
      <c r="AA6">
        <v>1807305.0940338336</v>
      </c>
      <c r="AB6" s="11">
        <f t="shared" si="6"/>
        <v>1459398863.4323206</v>
      </c>
      <c r="AD6" s="8">
        <f t="shared" si="7"/>
        <v>2.5200109639103005</v>
      </c>
      <c r="AE6" s="8">
        <f t="shared" si="8"/>
        <v>3.5200109639103005</v>
      </c>
      <c r="AH6" s="81" t="s">
        <v>61</v>
      </c>
      <c r="AI6" s="81"/>
      <c r="AJ6" s="81" t="s">
        <v>62</v>
      </c>
      <c r="AK6" s="81"/>
      <c r="AM6" t="s">
        <v>64</v>
      </c>
      <c r="AN6" t="s">
        <v>63</v>
      </c>
      <c r="AT6">
        <v>4.3148</v>
      </c>
      <c r="AU6" s="11">
        <f t="shared" si="9"/>
        <v>4314800000</v>
      </c>
      <c r="AV6">
        <v>1293913.5777147538</v>
      </c>
      <c r="AW6" s="11">
        <f t="shared" si="10"/>
        <v>1044835214.0046637</v>
      </c>
      <c r="AY6" s="11">
        <f t="shared" si="11"/>
        <v>3.1296464190388025</v>
      </c>
      <c r="AZ6" s="11">
        <f t="shared" si="12"/>
        <v>4.129646419038802</v>
      </c>
      <c r="BG6">
        <v>3.0590999999999999</v>
      </c>
      <c r="BH6" s="11">
        <f t="shared" si="13"/>
        <v>30591000000</v>
      </c>
      <c r="BI6">
        <v>1293913.5777147538</v>
      </c>
      <c r="BJ6" s="11">
        <f t="shared" si="14"/>
        <v>1044835214.0046637</v>
      </c>
      <c r="BL6" s="11">
        <f t="shared" si="15"/>
        <v>29.27830110429591</v>
      </c>
      <c r="BM6" s="11">
        <f t="shared" si="16"/>
        <v>28.27830110429591</v>
      </c>
      <c r="BQ6">
        <v>1.0006999999999999</v>
      </c>
      <c r="BR6" s="11">
        <f t="shared" si="17"/>
        <v>10007000000</v>
      </c>
      <c r="BS6">
        <v>699130.72344264924</v>
      </c>
      <c r="BT6" s="11">
        <f t="shared" si="18"/>
        <v>564548059.17993927</v>
      </c>
      <c r="BV6" s="11">
        <f t="shared" si="19"/>
        <v>17.725683114624708</v>
      </c>
      <c r="BW6" s="11">
        <f t="shared" si="20"/>
        <v>16.725683114624708</v>
      </c>
    </row>
    <row r="7" spans="1:75" x14ac:dyDescent="0.3">
      <c r="A7" t="s">
        <v>46</v>
      </c>
      <c r="B7">
        <v>3.4847000000000001</v>
      </c>
      <c r="C7">
        <f t="shared" si="0"/>
        <v>3484700000</v>
      </c>
      <c r="D7">
        <v>1221808.9958913245</v>
      </c>
      <c r="E7">
        <f t="shared" si="1"/>
        <v>986610764.18224454</v>
      </c>
      <c r="H7" s="8">
        <f t="shared" si="4"/>
        <v>2.5319906557965695</v>
      </c>
      <c r="L7">
        <v>2</v>
      </c>
      <c r="M7">
        <f t="shared" si="2"/>
        <v>2000000000</v>
      </c>
      <c r="N7">
        <v>690000</v>
      </c>
      <c r="O7">
        <f t="shared" si="3"/>
        <v>557175000</v>
      </c>
      <c r="X7" s="10"/>
      <c r="Y7" s="10">
        <v>4.8507999999999996</v>
      </c>
      <c r="Z7" s="11">
        <f t="shared" si="5"/>
        <v>4850800000</v>
      </c>
      <c r="AA7">
        <v>1706591.274906269</v>
      </c>
      <c r="AB7" s="11">
        <f t="shared" si="6"/>
        <v>1378072454.4868124</v>
      </c>
      <c r="AD7" s="8">
        <f t="shared" si="7"/>
        <v>2.5199890863549803</v>
      </c>
      <c r="AE7" s="8">
        <f t="shared" si="8"/>
        <v>3.5199890863549803</v>
      </c>
      <c r="AH7" s="9"/>
      <c r="AI7" s="9" t="s">
        <v>65</v>
      </c>
      <c r="AJ7" t="s">
        <v>42</v>
      </c>
      <c r="AK7" t="s">
        <v>65</v>
      </c>
      <c r="AT7">
        <v>4.0743999999999998</v>
      </c>
      <c r="AU7" s="11">
        <f t="shared" si="9"/>
        <v>4074400000</v>
      </c>
      <c r="AV7">
        <v>1221808.9958913245</v>
      </c>
      <c r="AW7" s="11">
        <f t="shared" si="10"/>
        <v>986610764.18224454</v>
      </c>
      <c r="AY7" s="11">
        <f t="shared" si="11"/>
        <v>3.1296934393140132</v>
      </c>
      <c r="AZ7" s="11">
        <f t="shared" si="12"/>
        <v>4.1296934393140132</v>
      </c>
      <c r="BG7">
        <v>2.8885999999999998</v>
      </c>
      <c r="BH7" s="11">
        <f t="shared" si="13"/>
        <v>28886000000</v>
      </c>
      <c r="BI7">
        <v>1221808.9958913245</v>
      </c>
      <c r="BJ7" s="11">
        <f t="shared" si="14"/>
        <v>986610764.18224454</v>
      </c>
      <c r="BL7" s="11">
        <f t="shared" si="15"/>
        <v>29.278010182609606</v>
      </c>
      <c r="BM7" s="11">
        <f t="shared" si="16"/>
        <v>28.278010182609606</v>
      </c>
      <c r="BQ7">
        <v>0.94489999999999996</v>
      </c>
      <c r="BR7" s="11">
        <f t="shared" si="17"/>
        <v>9449000000</v>
      </c>
      <c r="BS7">
        <v>660170.98971547373</v>
      </c>
      <c r="BT7" s="11">
        <f t="shared" si="18"/>
        <v>533088074.19524503</v>
      </c>
      <c r="BV7" s="11">
        <f t="shared" si="19"/>
        <v>17.725026046145008</v>
      </c>
      <c r="BW7" s="11">
        <f t="shared" si="20"/>
        <v>16.725026046145004</v>
      </c>
    </row>
    <row r="8" spans="1:75" x14ac:dyDescent="0.3">
      <c r="A8" t="s">
        <v>47</v>
      </c>
      <c r="B8">
        <v>3.5912999999999999</v>
      </c>
      <c r="C8">
        <f t="shared" si="0"/>
        <v>3591300000</v>
      </c>
      <c r="D8">
        <v>1259191.5298512238</v>
      </c>
      <c r="E8">
        <f t="shared" si="1"/>
        <v>1016797160.3548632</v>
      </c>
      <c r="H8" s="8">
        <f t="shared" si="4"/>
        <v>2.5319728850802781</v>
      </c>
      <c r="L8">
        <v>2</v>
      </c>
      <c r="M8">
        <f t="shared" si="2"/>
        <v>2000000000</v>
      </c>
      <c r="N8">
        <v>710000</v>
      </c>
      <c r="O8">
        <f t="shared" si="3"/>
        <v>573325000</v>
      </c>
      <c r="X8" s="10"/>
      <c r="Y8" s="10">
        <v>4.9992000000000001</v>
      </c>
      <c r="Z8" s="11">
        <f t="shared" si="5"/>
        <v>4999200000</v>
      </c>
      <c r="AA8">
        <v>1758806.2336309026</v>
      </c>
      <c r="AB8" s="11">
        <f t="shared" si="6"/>
        <v>1420236033.6569538</v>
      </c>
      <c r="AD8" s="8">
        <f t="shared" si="7"/>
        <v>2.5199782863751188</v>
      </c>
      <c r="AE8" s="8">
        <f t="shared" si="8"/>
        <v>3.5199782863751188</v>
      </c>
      <c r="AH8">
        <v>1.9547000000000001</v>
      </c>
      <c r="AI8" s="11">
        <f>AH8*10^9</f>
        <v>1954700000</v>
      </c>
      <c r="AJ8">
        <v>703096.09119655425</v>
      </c>
      <c r="AK8" s="11">
        <f>AJ8*807.5</f>
        <v>567750093.64121759</v>
      </c>
      <c r="AM8" s="8">
        <f>AI8/AK8</f>
        <v>3.4428880274835283</v>
      </c>
      <c r="AN8" s="8">
        <f t="shared" ref="AN8:AN19" si="21">(AI8-AK8)/AK8</f>
        <v>2.4428880274835278</v>
      </c>
      <c r="AT8">
        <v>4.1989999999999998</v>
      </c>
      <c r="AU8" s="11">
        <f t="shared" si="9"/>
        <v>4199000000</v>
      </c>
      <c r="AV8">
        <v>1259191.5298512238</v>
      </c>
      <c r="AW8" s="11">
        <f t="shared" si="10"/>
        <v>1016797160.3548632</v>
      </c>
      <c r="AY8" s="11">
        <f t="shared" si="11"/>
        <v>3.1296338775518855</v>
      </c>
      <c r="AZ8" s="11">
        <f t="shared" si="12"/>
        <v>4.1296338775518855</v>
      </c>
      <c r="BG8">
        <v>2.9769999999999999</v>
      </c>
      <c r="BH8" s="11">
        <f t="shared" si="13"/>
        <v>29770000000</v>
      </c>
      <c r="BI8">
        <v>1259191.5298512238</v>
      </c>
      <c r="BJ8" s="11">
        <f t="shared" si="14"/>
        <v>1016797160.3548632</v>
      </c>
      <c r="BL8" s="11">
        <f t="shared" si="15"/>
        <v>29.278209224748661</v>
      </c>
      <c r="BM8" s="11">
        <f t="shared" si="16"/>
        <v>28.278209224748664</v>
      </c>
      <c r="BQ8">
        <v>0.9738</v>
      </c>
      <c r="BR8" s="11">
        <f t="shared" si="17"/>
        <v>9738000000</v>
      </c>
      <c r="BS8">
        <v>680369.61693574185</v>
      </c>
      <c r="BT8" s="11">
        <f t="shared" si="18"/>
        <v>549398465.6756115</v>
      </c>
      <c r="BV8" s="11">
        <f t="shared" si="19"/>
        <v>17.724840181388011</v>
      </c>
      <c r="BW8" s="11">
        <f t="shared" si="20"/>
        <v>16.724840181388011</v>
      </c>
    </row>
    <row r="9" spans="1:75" x14ac:dyDescent="0.3">
      <c r="A9" t="s">
        <v>48</v>
      </c>
      <c r="B9">
        <v>3.9278</v>
      </c>
      <c r="C9">
        <f t="shared" si="0"/>
        <v>3927800000</v>
      </c>
      <c r="D9">
        <v>1377169.3142689136</v>
      </c>
      <c r="E9">
        <f t="shared" si="1"/>
        <v>1112064221.2721477</v>
      </c>
      <c r="H9" s="8">
        <f t="shared" si="4"/>
        <v>2.5319902617735393</v>
      </c>
      <c r="L9">
        <v>2.2000000000000002</v>
      </c>
      <c r="M9">
        <f t="shared" si="2"/>
        <v>2200000000</v>
      </c>
      <c r="N9">
        <v>778000</v>
      </c>
      <c r="O9">
        <f t="shared" si="3"/>
        <v>628235000</v>
      </c>
      <c r="X9" s="10"/>
      <c r="Y9" s="10">
        <v>5.4676999999999998</v>
      </c>
      <c r="Z9" s="11">
        <f t="shared" si="5"/>
        <v>5467700000</v>
      </c>
      <c r="AA9">
        <v>1923594.5583175467</v>
      </c>
      <c r="AB9" s="11">
        <f t="shared" si="6"/>
        <v>1553302605.841419</v>
      </c>
      <c r="AD9" s="8">
        <f t="shared" si="7"/>
        <v>2.5200481731234619</v>
      </c>
      <c r="AE9" s="8">
        <f t="shared" si="8"/>
        <v>3.5200481731234623</v>
      </c>
      <c r="AH9">
        <v>1.7683</v>
      </c>
      <c r="AI9" s="11">
        <f t="shared" ref="AI9:AI19" si="22">AH9*10^9</f>
        <v>1768300000</v>
      </c>
      <c r="AJ9">
        <v>636031.90968243883</v>
      </c>
      <c r="AK9" s="11">
        <f t="shared" ref="AK9:AK19" si="23">AJ9*807.5</f>
        <v>513595767.06856936</v>
      </c>
      <c r="AM9" s="8">
        <f t="shared" ref="AM9:AM19" si="24">AI9/AK9</f>
        <v>3.4429800893665017</v>
      </c>
      <c r="AN9" s="8">
        <f t="shared" si="21"/>
        <v>2.4429800893665017</v>
      </c>
      <c r="AT9">
        <v>4.5925000000000002</v>
      </c>
      <c r="AU9" s="11">
        <f t="shared" si="9"/>
        <v>4592500000</v>
      </c>
      <c r="AV9">
        <v>1377169.3142689136</v>
      </c>
      <c r="AW9" s="11">
        <f t="shared" si="10"/>
        <v>1112064221.2721477</v>
      </c>
      <c r="AY9" s="11">
        <f t="shared" si="11"/>
        <v>3.1297075404030195</v>
      </c>
      <c r="AZ9" s="11">
        <f t="shared" si="12"/>
        <v>4.129707540403019</v>
      </c>
      <c r="BG9">
        <v>3.2559999999999998</v>
      </c>
      <c r="BH9" s="11">
        <f t="shared" si="13"/>
        <v>32559999999.999996</v>
      </c>
      <c r="BI9">
        <v>1377169.3142689136</v>
      </c>
      <c r="BJ9" s="11">
        <f t="shared" si="14"/>
        <v>1112064221.2721477</v>
      </c>
      <c r="BL9" s="11">
        <f t="shared" si="15"/>
        <v>29.278884597827393</v>
      </c>
      <c r="BM9" s="11">
        <f t="shared" si="16"/>
        <v>28.278884597827393</v>
      </c>
      <c r="BQ9">
        <v>1.0649999999999999</v>
      </c>
      <c r="BR9" s="11">
        <f t="shared" si="17"/>
        <v>10650000000</v>
      </c>
      <c r="BS9">
        <v>744115.67787110654</v>
      </c>
      <c r="BT9" s="11">
        <f t="shared" si="18"/>
        <v>600873409.8809185</v>
      </c>
      <c r="BV9" s="11">
        <f t="shared" si="19"/>
        <v>17.724199182171539</v>
      </c>
      <c r="BW9" s="11">
        <f t="shared" si="20"/>
        <v>16.724199182171539</v>
      </c>
    </row>
    <row r="10" spans="1:75" x14ac:dyDescent="0.3">
      <c r="A10" t="s">
        <v>49</v>
      </c>
      <c r="B10">
        <v>4.508</v>
      </c>
      <c r="C10">
        <f t="shared" si="0"/>
        <v>4508000000</v>
      </c>
      <c r="D10">
        <v>1580575.9455547752</v>
      </c>
      <c r="E10">
        <f t="shared" si="1"/>
        <v>1276315076.035481</v>
      </c>
      <c r="H10" s="8">
        <f t="shared" si="4"/>
        <v>2.532043211463781</v>
      </c>
      <c r="L10">
        <v>2.5</v>
      </c>
      <c r="M10">
        <f t="shared" si="2"/>
        <v>2500000000</v>
      </c>
      <c r="N10">
        <v>892000</v>
      </c>
      <c r="O10">
        <f t="shared" si="3"/>
        <v>720290000</v>
      </c>
      <c r="X10" s="10"/>
      <c r="Y10" s="10">
        <v>6.2751999999999999</v>
      </c>
      <c r="Z10" s="11">
        <f t="shared" si="5"/>
        <v>6275200000</v>
      </c>
      <c r="AA10">
        <v>2207707.6916942503</v>
      </c>
      <c r="AB10" s="11">
        <f t="shared" si="6"/>
        <v>1782723961.043107</v>
      </c>
      <c r="AD10" s="8">
        <f t="shared" si="7"/>
        <v>2.5200065389418205</v>
      </c>
      <c r="AE10" s="8">
        <f t="shared" si="8"/>
        <v>3.5200065389418205</v>
      </c>
      <c r="AH10">
        <v>2.0150999999999999</v>
      </c>
      <c r="AI10" s="11">
        <f t="shared" si="22"/>
        <v>2015100000</v>
      </c>
      <c r="AJ10">
        <v>724800.29925860325</v>
      </c>
      <c r="AK10" s="11">
        <f t="shared" si="23"/>
        <v>585276241.65132213</v>
      </c>
      <c r="AM10" s="8">
        <f t="shared" si="24"/>
        <v>3.4429895775617254</v>
      </c>
      <c r="AN10" s="8">
        <f t="shared" si="21"/>
        <v>2.4429895775617254</v>
      </c>
      <c r="AT10">
        <v>5.2708000000000004</v>
      </c>
      <c r="AU10" s="11">
        <f t="shared" si="9"/>
        <v>5270800000</v>
      </c>
      <c r="AV10">
        <v>1580575.9455547752</v>
      </c>
      <c r="AW10" s="11">
        <f t="shared" si="10"/>
        <v>1276315076.035481</v>
      </c>
      <c r="AY10" s="11">
        <f t="shared" si="11"/>
        <v>3.1297012775029494</v>
      </c>
      <c r="AZ10" s="11">
        <f t="shared" si="12"/>
        <v>4.1297012775029494</v>
      </c>
      <c r="BG10">
        <v>3.7368999999999999</v>
      </c>
      <c r="BH10" s="11">
        <f t="shared" si="13"/>
        <v>37369000000</v>
      </c>
      <c r="BI10">
        <v>1580575.9455547752</v>
      </c>
      <c r="BJ10" s="11">
        <f t="shared" si="14"/>
        <v>1276315076.035481</v>
      </c>
      <c r="BL10" s="11">
        <f t="shared" si="15"/>
        <v>29.2788204900599</v>
      </c>
      <c r="BM10" s="11">
        <f t="shared" si="16"/>
        <v>28.278820490059896</v>
      </c>
      <c r="BQ10">
        <v>1.2222999999999999</v>
      </c>
      <c r="BR10" s="11">
        <f t="shared" si="17"/>
        <v>12223000000</v>
      </c>
      <c r="BS10">
        <v>854020.87380782212</v>
      </c>
      <c r="BT10" s="11">
        <f t="shared" si="18"/>
        <v>689621855.59981632</v>
      </c>
      <c r="BV10" s="11">
        <f t="shared" si="19"/>
        <v>17.724206245419428</v>
      </c>
      <c r="BW10" s="11">
        <f t="shared" si="20"/>
        <v>16.724206245419431</v>
      </c>
    </row>
    <row r="11" spans="1:75" x14ac:dyDescent="0.3">
      <c r="A11" t="s">
        <v>50</v>
      </c>
      <c r="B11">
        <v>4.6980000000000004</v>
      </c>
      <c r="C11">
        <f t="shared" si="0"/>
        <v>4698000000</v>
      </c>
      <c r="D11">
        <v>1647194.7732312747</v>
      </c>
      <c r="E11">
        <f t="shared" si="1"/>
        <v>1330109779.3842542</v>
      </c>
      <c r="H11" s="8">
        <f t="shared" si="4"/>
        <v>2.532039289399735</v>
      </c>
      <c r="L11">
        <v>2.6</v>
      </c>
      <c r="M11">
        <f t="shared" si="2"/>
        <v>2600000000</v>
      </c>
      <c r="N11">
        <v>929000</v>
      </c>
      <c r="O11">
        <f t="shared" si="3"/>
        <v>750167500</v>
      </c>
      <c r="X11" s="10"/>
      <c r="Y11" s="10">
        <v>6.5396999999999998</v>
      </c>
      <c r="Z11" s="11">
        <f t="shared" si="5"/>
        <v>6539700000</v>
      </c>
      <c r="AA11">
        <v>2300759.1509972322</v>
      </c>
      <c r="AB11" s="11">
        <f t="shared" si="6"/>
        <v>1857863014.4302649</v>
      </c>
      <c r="AD11" s="8">
        <f t="shared" si="7"/>
        <v>2.520011943402336</v>
      </c>
      <c r="AE11" s="8">
        <f t="shared" si="8"/>
        <v>3.5200119434023365</v>
      </c>
      <c r="AH11">
        <v>1.9028</v>
      </c>
      <c r="AI11" s="11">
        <f t="shared" si="22"/>
        <v>1902800000</v>
      </c>
      <c r="AJ11">
        <v>684410.10366622091</v>
      </c>
      <c r="AK11" s="11">
        <f t="shared" si="23"/>
        <v>552661158.71047342</v>
      </c>
      <c r="AM11" s="8">
        <f t="shared" si="24"/>
        <v>3.4429776184015015</v>
      </c>
      <c r="AN11" s="8">
        <f t="shared" si="21"/>
        <v>2.4429776184015011</v>
      </c>
      <c r="AT11">
        <v>5.4928999999999997</v>
      </c>
      <c r="AU11" s="11">
        <f t="shared" si="9"/>
        <v>5492900000</v>
      </c>
      <c r="AV11">
        <v>1647194.7732312747</v>
      </c>
      <c r="AW11" s="11">
        <f t="shared" si="10"/>
        <v>1330109779.3842542</v>
      </c>
      <c r="AY11" s="11">
        <f t="shared" si="11"/>
        <v>3.1296591342579405</v>
      </c>
      <c r="AZ11" s="11">
        <f t="shared" si="12"/>
        <v>4.129659134257941</v>
      </c>
      <c r="BG11">
        <v>3.8944000000000001</v>
      </c>
      <c r="BH11" s="11">
        <f t="shared" si="13"/>
        <v>38944000000</v>
      </c>
      <c r="BI11">
        <v>1647194.7732312747</v>
      </c>
      <c r="BJ11" s="11">
        <f t="shared" si="14"/>
        <v>1330109779.3842542</v>
      </c>
      <c r="BL11" s="11">
        <f t="shared" si="15"/>
        <v>29.278786310426415</v>
      </c>
      <c r="BM11" s="11">
        <f t="shared" si="16"/>
        <v>28.278786310426415</v>
      </c>
      <c r="BQ11">
        <v>1.2739</v>
      </c>
      <c r="BR11" s="11">
        <f t="shared" si="17"/>
        <v>12739000000</v>
      </c>
      <c r="BS11">
        <v>890016.53069754364</v>
      </c>
      <c r="BT11" s="11">
        <f t="shared" si="18"/>
        <v>718688348.53826654</v>
      </c>
      <c r="BV11" s="11">
        <f t="shared" si="19"/>
        <v>17.725346495333802</v>
      </c>
      <c r="BW11" s="11">
        <f t="shared" si="20"/>
        <v>16.725346495333799</v>
      </c>
    </row>
    <row r="12" spans="1:75" x14ac:dyDescent="0.3">
      <c r="A12" t="s">
        <v>51</v>
      </c>
      <c r="B12">
        <v>4.2347999999999999</v>
      </c>
      <c r="C12">
        <f t="shared" si="0"/>
        <v>4234800000</v>
      </c>
      <c r="D12">
        <v>1484805.4657709303</v>
      </c>
      <c r="E12">
        <f t="shared" si="1"/>
        <v>1198980413.6100261</v>
      </c>
      <c r="H12" s="8">
        <f t="shared" si="4"/>
        <v>2.5320009834434107</v>
      </c>
      <c r="L12">
        <v>2.2999999999999998</v>
      </c>
      <c r="M12">
        <f t="shared" si="2"/>
        <v>2300000000</v>
      </c>
      <c r="N12">
        <v>840000</v>
      </c>
      <c r="O12">
        <f t="shared" si="3"/>
        <v>678300000</v>
      </c>
      <c r="X12" s="10"/>
      <c r="Y12" s="10">
        <v>5.8949999999999996</v>
      </c>
      <c r="Z12" s="11">
        <f t="shared" si="5"/>
        <v>5895000000</v>
      </c>
      <c r="AA12">
        <v>2073937.9570284283</v>
      </c>
      <c r="AB12" s="11">
        <f t="shared" si="6"/>
        <v>1674704900.3004558</v>
      </c>
      <c r="AD12" s="8">
        <f t="shared" si="7"/>
        <v>2.5200231389675807</v>
      </c>
      <c r="AE12" s="8">
        <f t="shared" si="8"/>
        <v>3.5200231389675807</v>
      </c>
      <c r="AH12">
        <v>1.9610000000000001</v>
      </c>
      <c r="AI12" s="11">
        <f t="shared" si="22"/>
        <v>1961000000</v>
      </c>
      <c r="AJ12">
        <v>705350.35212472582</v>
      </c>
      <c r="AK12" s="11">
        <f t="shared" si="23"/>
        <v>569570409.34071612</v>
      </c>
      <c r="AM12" s="8">
        <f t="shared" si="24"/>
        <v>3.4429457145954592</v>
      </c>
      <c r="AN12" s="8">
        <f t="shared" si="21"/>
        <v>2.4429457145954592</v>
      </c>
      <c r="AT12">
        <v>4.9513999999999996</v>
      </c>
      <c r="AU12" s="11">
        <f t="shared" si="9"/>
        <v>4951400000</v>
      </c>
      <c r="AV12">
        <v>1484805.4657709303</v>
      </c>
      <c r="AW12" s="11">
        <f t="shared" si="10"/>
        <v>1198980413.6100261</v>
      </c>
      <c r="AY12" s="11">
        <f t="shared" si="11"/>
        <v>3.1296754674179903</v>
      </c>
      <c r="AZ12" s="11">
        <f t="shared" si="12"/>
        <v>4.1296754674179903</v>
      </c>
      <c r="BG12">
        <v>3.5105</v>
      </c>
      <c r="BH12" s="11">
        <f t="shared" si="13"/>
        <v>35105000000</v>
      </c>
      <c r="BI12">
        <v>1484805.4657709303</v>
      </c>
      <c r="BJ12" s="11">
        <f t="shared" si="14"/>
        <v>1198980413.6100261</v>
      </c>
      <c r="BL12" s="11">
        <f t="shared" si="15"/>
        <v>29.279043762109414</v>
      </c>
      <c r="BM12" s="11">
        <f t="shared" si="16"/>
        <v>28.279043762109414</v>
      </c>
      <c r="BQ12">
        <v>1.1483000000000001</v>
      </c>
      <c r="BR12" s="11">
        <f t="shared" si="17"/>
        <v>11483000000.000002</v>
      </c>
      <c r="BS12">
        <v>802273.92102138977</v>
      </c>
      <c r="BT12" s="11">
        <f t="shared" si="18"/>
        <v>647836191.22477221</v>
      </c>
      <c r="BV12" s="11">
        <f t="shared" si="19"/>
        <v>17.725159778879778</v>
      </c>
      <c r="BW12" s="11">
        <f t="shared" si="20"/>
        <v>16.725159778879782</v>
      </c>
    </row>
    <row r="13" spans="1:75" x14ac:dyDescent="0.3">
      <c r="A13" t="s">
        <v>52</v>
      </c>
      <c r="B13">
        <v>4.0217999999999998</v>
      </c>
      <c r="C13">
        <f t="shared" si="0"/>
        <v>4021800000</v>
      </c>
      <c r="D13">
        <v>1410101.4396210429</v>
      </c>
      <c r="E13">
        <f t="shared" si="1"/>
        <v>1138656912.4939921</v>
      </c>
      <c r="H13" s="8">
        <f t="shared" si="4"/>
        <v>2.5320560178140759</v>
      </c>
      <c r="L13">
        <v>2.2999999999999998</v>
      </c>
      <c r="M13">
        <f t="shared" si="2"/>
        <v>2300000000</v>
      </c>
      <c r="N13">
        <v>796000</v>
      </c>
      <c r="O13">
        <f t="shared" si="3"/>
        <v>642770000</v>
      </c>
      <c r="X13" s="10"/>
      <c r="Y13" s="10">
        <v>5.5983999999999998</v>
      </c>
      <c r="Z13" s="11">
        <f t="shared" si="5"/>
        <v>5598400000</v>
      </c>
      <c r="AA13">
        <v>1969593.3011481017</v>
      </c>
      <c r="AB13" s="11">
        <f t="shared" si="6"/>
        <v>1590446590.6770921</v>
      </c>
      <c r="AD13" s="8">
        <f t="shared" si="7"/>
        <v>2.5200176056315251</v>
      </c>
      <c r="AE13" s="8">
        <f t="shared" si="8"/>
        <v>3.5200176056315251</v>
      </c>
      <c r="AH13">
        <v>2.1446999999999998</v>
      </c>
      <c r="AI13" s="11">
        <f t="shared" si="22"/>
        <v>2144699999.9999998</v>
      </c>
      <c r="AJ13">
        <v>771436.94007353811</v>
      </c>
      <c r="AK13" s="11">
        <f t="shared" si="23"/>
        <v>622935329.10938203</v>
      </c>
      <c r="AM13" s="8">
        <f t="shared" si="24"/>
        <v>3.4428935072061213</v>
      </c>
      <c r="AN13" s="8">
        <f t="shared" si="21"/>
        <v>2.4428935072061218</v>
      </c>
      <c r="AT13">
        <v>4.7023000000000001</v>
      </c>
      <c r="AU13" s="11">
        <f t="shared" si="9"/>
        <v>4702300000</v>
      </c>
      <c r="AV13">
        <v>1410101.4396210429</v>
      </c>
      <c r="AW13" s="11">
        <f t="shared" si="10"/>
        <v>1138656912.4939921</v>
      </c>
      <c r="AY13" s="11">
        <f t="shared" si="11"/>
        <v>3.1296899429526901</v>
      </c>
      <c r="AZ13" s="11">
        <f t="shared" si="12"/>
        <v>4.1296899429526901</v>
      </c>
      <c r="BG13">
        <v>3.3338000000000001</v>
      </c>
      <c r="BH13" s="11">
        <f t="shared" si="13"/>
        <v>33338000000</v>
      </c>
      <c r="BI13">
        <v>1410101.4396210429</v>
      </c>
      <c r="BJ13" s="11">
        <f t="shared" si="14"/>
        <v>1138656912.4939921</v>
      </c>
      <c r="BL13" s="11">
        <f t="shared" si="15"/>
        <v>29.278353851978132</v>
      </c>
      <c r="BM13" s="11">
        <f t="shared" si="16"/>
        <v>28.278353851978132</v>
      </c>
      <c r="BQ13">
        <v>1.0905</v>
      </c>
      <c r="BR13" s="11">
        <f t="shared" si="17"/>
        <v>10905000000</v>
      </c>
      <c r="BS13">
        <v>761909.64882749901</v>
      </c>
      <c r="BT13" s="11">
        <f t="shared" si="18"/>
        <v>615242041.42820549</v>
      </c>
      <c r="BV13" s="11">
        <f t="shared" si="19"/>
        <v>17.724731513284496</v>
      </c>
      <c r="BW13" s="11">
        <f t="shared" si="20"/>
        <v>16.724731513284496</v>
      </c>
    </row>
    <row r="14" spans="1:75" x14ac:dyDescent="0.3">
      <c r="A14" t="s">
        <v>53</v>
      </c>
      <c r="B14">
        <v>3.6461999999999999</v>
      </c>
      <c r="C14">
        <f t="shared" si="0"/>
        <v>3646200000</v>
      </c>
      <c r="D14">
        <v>1278402.0881126698</v>
      </c>
      <c r="E14">
        <f t="shared" si="1"/>
        <v>1032309686.1509808</v>
      </c>
      <c r="H14" s="8">
        <f t="shared" si="4"/>
        <v>2.5320796161421697</v>
      </c>
      <c r="L14">
        <v>2</v>
      </c>
      <c r="M14">
        <f t="shared" si="2"/>
        <v>2000000000</v>
      </c>
      <c r="N14">
        <v>721000</v>
      </c>
      <c r="O14">
        <f t="shared" si="3"/>
        <v>582207500</v>
      </c>
      <c r="X14" s="10"/>
      <c r="Y14" s="10">
        <v>5.0754999999999999</v>
      </c>
      <c r="Z14" s="11">
        <f t="shared" si="5"/>
        <v>5075500000</v>
      </c>
      <c r="AA14">
        <v>1785639.0456541483</v>
      </c>
      <c r="AB14" s="11">
        <f t="shared" si="6"/>
        <v>1441903529.3657248</v>
      </c>
      <c r="AD14" s="8">
        <f t="shared" si="7"/>
        <v>2.5199997063830262</v>
      </c>
      <c r="AE14" s="8">
        <f t="shared" si="8"/>
        <v>3.5199997063830257</v>
      </c>
      <c r="AH14" s="12">
        <v>2.4615</v>
      </c>
      <c r="AI14" s="11">
        <f t="shared" si="22"/>
        <v>2461500000</v>
      </c>
      <c r="AJ14">
        <v>885377.46111479588</v>
      </c>
      <c r="AK14" s="11">
        <f t="shared" si="23"/>
        <v>714942299.85019767</v>
      </c>
      <c r="AM14" s="8">
        <f t="shared" si="24"/>
        <v>3.4429351858405353</v>
      </c>
      <c r="AN14" s="8">
        <f t="shared" si="21"/>
        <v>2.4429351858405353</v>
      </c>
      <c r="AT14">
        <v>4.2630999999999997</v>
      </c>
      <c r="AU14" s="11">
        <f t="shared" si="9"/>
        <v>4263099999.9999995</v>
      </c>
      <c r="AV14">
        <v>1278402.0881126698</v>
      </c>
      <c r="AW14" s="11">
        <f t="shared" si="10"/>
        <v>1032309686.1509808</v>
      </c>
      <c r="AY14" s="11">
        <f t="shared" si="11"/>
        <v>3.1296716064877628</v>
      </c>
      <c r="AZ14" s="11">
        <f t="shared" si="12"/>
        <v>4.1296716064877632</v>
      </c>
      <c r="BG14">
        <v>3.0225</v>
      </c>
      <c r="BH14" s="11">
        <f t="shared" si="13"/>
        <v>30225000000</v>
      </c>
      <c r="BI14">
        <v>1278402.0881126698</v>
      </c>
      <c r="BJ14" s="11">
        <f t="shared" si="14"/>
        <v>1032309686.1509808</v>
      </c>
      <c r="BL14" s="11">
        <f t="shared" si="15"/>
        <v>29.279004552108244</v>
      </c>
      <c r="BM14" s="11">
        <f t="shared" si="16"/>
        <v>28.279004552108244</v>
      </c>
      <c r="BQ14">
        <v>0.98870000000000002</v>
      </c>
      <c r="BR14" s="11">
        <f t="shared" si="17"/>
        <v>9887000000</v>
      </c>
      <c r="BS14">
        <v>690749.51535120059</v>
      </c>
      <c r="BT14" s="11">
        <f t="shared" si="18"/>
        <v>557780233.64609444</v>
      </c>
      <c r="BV14" s="11">
        <f t="shared" si="19"/>
        <v>17.725619166119813</v>
      </c>
      <c r="BW14" s="11">
        <f t="shared" si="20"/>
        <v>16.725619166119813</v>
      </c>
    </row>
    <row r="15" spans="1:75" s="1" customFormat="1" x14ac:dyDescent="0.3">
      <c r="A15" s="1" t="s">
        <v>54</v>
      </c>
      <c r="B15" s="1">
        <v>4.2705000000000002</v>
      </c>
      <c r="C15" s="1">
        <f t="shared" si="0"/>
        <v>4270500000</v>
      </c>
      <c r="D15" s="1">
        <v>1497304.0335809155</v>
      </c>
      <c r="E15" s="1">
        <f t="shared" si="1"/>
        <v>1209073007.1165893</v>
      </c>
      <c r="H15" s="13">
        <f t="shared" si="4"/>
        <v>2.5320447771672079</v>
      </c>
      <c r="L15" s="1">
        <v>2.2999999999999998</v>
      </c>
      <c r="M15" s="1">
        <f t="shared" si="2"/>
        <v>2300000000</v>
      </c>
      <c r="N15" s="1">
        <v>845000</v>
      </c>
      <c r="O15" s="1">
        <f t="shared" si="3"/>
        <v>682337500</v>
      </c>
      <c r="X15" s="15"/>
      <c r="Y15" s="15">
        <v>5.9446000000000003</v>
      </c>
      <c r="Z15" s="14">
        <f t="shared" si="5"/>
        <v>5944600000</v>
      </c>
      <c r="AA15" s="1">
        <v>2091395.6340017305</v>
      </c>
      <c r="AB15" s="14">
        <f t="shared" si="6"/>
        <v>1688801974.4563973</v>
      </c>
      <c r="AD15" s="13">
        <f t="shared" si="7"/>
        <v>2.5200100958630673</v>
      </c>
      <c r="AE15" s="13">
        <f t="shared" si="8"/>
        <v>3.5200100958630669</v>
      </c>
      <c r="AH15" s="1">
        <v>2.5653000000000001</v>
      </c>
      <c r="AI15" s="14">
        <f t="shared" si="22"/>
        <v>2565300000</v>
      </c>
      <c r="AJ15" s="1">
        <v>922694.74958584143</v>
      </c>
      <c r="AK15" s="14">
        <f t="shared" si="23"/>
        <v>745076010.29056692</v>
      </c>
      <c r="AM15" s="13">
        <f t="shared" si="24"/>
        <v>3.4430044244741911</v>
      </c>
      <c r="AN15" s="13">
        <f t="shared" si="21"/>
        <v>2.4430044244741911</v>
      </c>
      <c r="AT15" s="1">
        <v>4.9931000000000001</v>
      </c>
      <c r="AU15" s="14">
        <f t="shared" si="9"/>
        <v>4993100000</v>
      </c>
      <c r="AV15" s="1">
        <v>1497304.0335809155</v>
      </c>
      <c r="AW15" s="14">
        <f t="shared" si="10"/>
        <v>1209073007.1165893</v>
      </c>
      <c r="AY15" s="14">
        <f t="shared" si="11"/>
        <v>3.1296927237732319</v>
      </c>
      <c r="AZ15" s="14">
        <f t="shared" si="12"/>
        <v>4.1296927237732319</v>
      </c>
      <c r="BG15" s="1">
        <v>3.54</v>
      </c>
      <c r="BH15" s="14">
        <f t="shared" si="13"/>
        <v>35400000000</v>
      </c>
      <c r="BI15" s="1">
        <v>1497304.0335809155</v>
      </c>
      <c r="BJ15" s="14">
        <f t="shared" si="14"/>
        <v>1209073007.1165893</v>
      </c>
      <c r="BL15" s="14">
        <f t="shared" si="15"/>
        <v>29.278628992323888</v>
      </c>
      <c r="BM15" s="14">
        <f t="shared" si="16"/>
        <v>28.278628992323888</v>
      </c>
      <c r="BQ15" s="1">
        <v>1.1578999999999999</v>
      </c>
      <c r="BR15" s="14">
        <f t="shared" si="17"/>
        <v>11579000000</v>
      </c>
      <c r="BS15" s="1">
        <v>809027.17943484953</v>
      </c>
      <c r="BT15" s="14">
        <f t="shared" si="18"/>
        <v>653289447.393641</v>
      </c>
      <c r="BV15" s="14">
        <f t="shared" si="19"/>
        <v>17.724149756582626</v>
      </c>
      <c r="BW15" s="14">
        <f t="shared" si="20"/>
        <v>16.724149756582626</v>
      </c>
    </row>
    <row r="16" spans="1:75" x14ac:dyDescent="0.3">
      <c r="A16" t="s">
        <v>43</v>
      </c>
      <c r="B16">
        <v>3.6674000000000002</v>
      </c>
      <c r="C16">
        <f t="shared" si="0"/>
        <v>3667400000</v>
      </c>
      <c r="D16">
        <v>1285534.1719257471</v>
      </c>
      <c r="E16">
        <f t="shared" si="1"/>
        <v>1038068843.8300408</v>
      </c>
      <c r="H16" s="8">
        <f t="shared" si="4"/>
        <v>2.5329063402662433</v>
      </c>
      <c r="Y16" s="10">
        <v>5.1425999999999998</v>
      </c>
      <c r="Z16" s="11">
        <f t="shared" si="5"/>
        <v>5142600000</v>
      </c>
      <c r="AA16">
        <v>1808453.0327264094</v>
      </c>
      <c r="AB16" s="11">
        <f t="shared" si="6"/>
        <v>1460325823.9265757</v>
      </c>
      <c r="AD16" s="8">
        <f t="shared" si="7"/>
        <v>2.5215428747075057</v>
      </c>
      <c r="AE16" s="8">
        <f t="shared" si="8"/>
        <v>3.5215428747075057</v>
      </c>
      <c r="AH16">
        <v>2.3123999999999998</v>
      </c>
      <c r="AI16" s="11">
        <f t="shared" si="22"/>
        <v>2312400000</v>
      </c>
      <c r="AJ16">
        <v>831730.54558426468</v>
      </c>
      <c r="AK16" s="11">
        <f t="shared" si="23"/>
        <v>671622415.55929375</v>
      </c>
      <c r="AM16" s="8">
        <f t="shared" si="24"/>
        <v>3.4430059903142873</v>
      </c>
      <c r="AN16" s="8">
        <f t="shared" si="21"/>
        <v>2.4430059903142873</v>
      </c>
      <c r="AT16">
        <v>4.2732000000000001</v>
      </c>
      <c r="AU16" s="11">
        <f t="shared" si="9"/>
        <v>4273200000</v>
      </c>
      <c r="AV16">
        <v>1285534.1719257471</v>
      </c>
      <c r="AW16" s="11">
        <f t="shared" si="10"/>
        <v>1038068843.8300408</v>
      </c>
      <c r="AY16" s="11">
        <f t="shared" si="11"/>
        <v>3.1164899856098902</v>
      </c>
      <c r="AZ16" s="11">
        <f t="shared" si="12"/>
        <v>4.1164899856098902</v>
      </c>
      <c r="BG16">
        <v>3.0726</v>
      </c>
      <c r="BH16" s="11">
        <f t="shared" si="13"/>
        <v>30726000000</v>
      </c>
      <c r="BI16">
        <v>1285534.1719257471</v>
      </c>
      <c r="BJ16" s="11">
        <f t="shared" si="14"/>
        <v>1038068843.8300408</v>
      </c>
      <c r="BL16" s="11">
        <f t="shared" si="15"/>
        <v>29.599192946234552</v>
      </c>
      <c r="BM16" s="11">
        <f t="shared" si="16"/>
        <v>28.599192946234552</v>
      </c>
    </row>
    <row r="17" spans="1:65" x14ac:dyDescent="0.3">
      <c r="A17" t="s">
        <v>44</v>
      </c>
      <c r="B17">
        <v>3.3176000000000001</v>
      </c>
      <c r="C17">
        <f t="shared" si="0"/>
        <v>3317600000</v>
      </c>
      <c r="D17">
        <v>1162914.6635426106</v>
      </c>
      <c r="E17">
        <f t="shared" si="1"/>
        <v>939053590.8106581</v>
      </c>
      <c r="H17" s="8">
        <f t="shared" si="4"/>
        <v>2.5329187092890098</v>
      </c>
      <c r="X17" s="10"/>
      <c r="Y17" s="10">
        <v>4.6520999999999999</v>
      </c>
      <c r="Z17" s="11">
        <f t="shared" si="5"/>
        <v>4652100000</v>
      </c>
      <c r="AA17">
        <v>1635955.3841615971</v>
      </c>
      <c r="AB17" s="11">
        <f t="shared" si="6"/>
        <v>1321033972.7104897</v>
      </c>
      <c r="AD17" s="8">
        <f t="shared" si="7"/>
        <v>2.5215596995244933</v>
      </c>
      <c r="AE17" s="8">
        <f t="shared" si="8"/>
        <v>3.5215596995244933</v>
      </c>
      <c r="AH17">
        <v>2.1960000000000002</v>
      </c>
      <c r="AI17" s="11">
        <f t="shared" si="22"/>
        <v>2196000000</v>
      </c>
      <c r="AJ17">
        <v>789884.24190385197</v>
      </c>
      <c r="AK17" s="11">
        <f t="shared" si="23"/>
        <v>637831525.3373605</v>
      </c>
      <c r="AM17" s="8">
        <f t="shared" si="24"/>
        <v>3.442915429491348</v>
      </c>
      <c r="AN17" s="8">
        <f t="shared" si="21"/>
        <v>2.442915429491348</v>
      </c>
      <c r="AT17">
        <v>3.8656000000000001</v>
      </c>
      <c r="AU17" s="11">
        <f t="shared" si="9"/>
        <v>3865600000</v>
      </c>
      <c r="AV17">
        <v>1162914.6635426106</v>
      </c>
      <c r="AW17" s="11">
        <f t="shared" si="10"/>
        <v>939053590.8106581</v>
      </c>
      <c r="AY17" s="11">
        <f t="shared" si="11"/>
        <v>3.1164849778838906</v>
      </c>
      <c r="AZ17" s="11">
        <f t="shared" si="12"/>
        <v>4.116484977883891</v>
      </c>
      <c r="BG17">
        <v>2.7795000000000001</v>
      </c>
      <c r="BH17" s="11">
        <f t="shared" si="13"/>
        <v>27795000000</v>
      </c>
      <c r="BI17">
        <v>1162914.6635426106</v>
      </c>
      <c r="BJ17" s="11">
        <f t="shared" si="14"/>
        <v>939053590.8106581</v>
      </c>
      <c r="BL17" s="11">
        <f t="shared" si="15"/>
        <v>29.59894969999036</v>
      </c>
      <c r="BM17" s="11">
        <f t="shared" si="16"/>
        <v>28.598949699990364</v>
      </c>
    </row>
    <row r="18" spans="1:65" x14ac:dyDescent="0.3">
      <c r="A18" t="s">
        <v>45</v>
      </c>
      <c r="B18">
        <v>3.7806999999999999</v>
      </c>
      <c r="C18">
        <f t="shared" si="0"/>
        <v>3780700000</v>
      </c>
      <c r="D18">
        <v>1325217.9384659173</v>
      </c>
      <c r="E18">
        <f t="shared" si="1"/>
        <v>1070113485.3112282</v>
      </c>
      <c r="H18" s="8">
        <f t="shared" si="4"/>
        <v>2.5329897734168205</v>
      </c>
      <c r="X18" s="10"/>
      <c r="Y18" s="10">
        <v>5.3014000000000001</v>
      </c>
      <c r="Z18" s="11">
        <f t="shared" si="5"/>
        <v>5301400000</v>
      </c>
      <c r="AA18">
        <v>1864279.0306009511</v>
      </c>
      <c r="AB18" s="11">
        <f t="shared" si="6"/>
        <v>1505405317.210268</v>
      </c>
      <c r="AD18" s="8">
        <f t="shared" si="7"/>
        <v>2.5215765079296082</v>
      </c>
      <c r="AE18" s="8">
        <f t="shared" si="8"/>
        <v>3.5215765079296082</v>
      </c>
      <c r="AH18">
        <v>1.9908999999999999</v>
      </c>
      <c r="AI18" s="11">
        <f t="shared" si="22"/>
        <v>1990900000</v>
      </c>
      <c r="AJ18">
        <v>716111.36322827451</v>
      </c>
      <c r="AK18" s="11">
        <f t="shared" si="23"/>
        <v>578259925.80683172</v>
      </c>
      <c r="AM18" s="8">
        <f t="shared" si="24"/>
        <v>3.4429153934922025</v>
      </c>
      <c r="AN18" s="8">
        <f t="shared" si="21"/>
        <v>2.4429153934922025</v>
      </c>
      <c r="AT18">
        <v>4.4051</v>
      </c>
      <c r="AU18" s="11">
        <f t="shared" si="9"/>
        <v>4405100000</v>
      </c>
      <c r="AV18">
        <v>1325217.9384659173</v>
      </c>
      <c r="AW18" s="11">
        <f t="shared" si="10"/>
        <v>1070113485.3112282</v>
      </c>
      <c r="AY18" s="11">
        <f t="shared" si="11"/>
        <v>3.1164792897819016</v>
      </c>
      <c r="AZ18" s="11">
        <f t="shared" si="12"/>
        <v>4.1164792897819016</v>
      </c>
      <c r="BG18">
        <v>3.1675</v>
      </c>
      <c r="BH18" s="11">
        <f t="shared" si="13"/>
        <v>31675000000</v>
      </c>
      <c r="BI18">
        <v>1325217.9384659173</v>
      </c>
      <c r="BJ18" s="11">
        <f t="shared" si="14"/>
        <v>1070113485.3112282</v>
      </c>
      <c r="BL18" s="11">
        <f t="shared" si="15"/>
        <v>29.599664367174807</v>
      </c>
      <c r="BM18" s="11">
        <f t="shared" si="16"/>
        <v>28.599664367174803</v>
      </c>
    </row>
    <row r="19" spans="1:65" x14ac:dyDescent="0.3">
      <c r="A19" t="s">
        <v>46</v>
      </c>
      <c r="B19">
        <v>3.57</v>
      </c>
      <c r="C19">
        <f t="shared" si="0"/>
        <v>3570000000</v>
      </c>
      <c r="D19">
        <v>1251368.8909532113</v>
      </c>
      <c r="E19">
        <f t="shared" si="1"/>
        <v>1010480379.4447181</v>
      </c>
      <c r="H19" s="8">
        <f t="shared" si="4"/>
        <v>2.5329731013300778</v>
      </c>
      <c r="X19" s="10"/>
      <c r="Y19" s="10">
        <v>5.0060000000000002</v>
      </c>
      <c r="Z19" s="11">
        <f t="shared" si="5"/>
        <v>5006000000</v>
      </c>
      <c r="AA19">
        <v>1760390.2839189034</v>
      </c>
      <c r="AB19" s="11">
        <f t="shared" si="6"/>
        <v>1421515154.2645144</v>
      </c>
      <c r="AD19" s="8">
        <f t="shared" si="7"/>
        <v>2.5215945359302778</v>
      </c>
      <c r="AE19" s="8">
        <f t="shared" si="8"/>
        <v>3.5215945359302778</v>
      </c>
      <c r="AH19">
        <v>2.3317999999999999</v>
      </c>
      <c r="AI19" s="11">
        <f t="shared" si="22"/>
        <v>2331800000</v>
      </c>
      <c r="AJ19">
        <v>838731.75945589028</v>
      </c>
      <c r="AK19" s="11">
        <f t="shared" si="23"/>
        <v>677275895.76063144</v>
      </c>
      <c r="AM19" s="8">
        <f t="shared" si="24"/>
        <v>3.442910067515712</v>
      </c>
      <c r="AN19" s="8">
        <f t="shared" si="21"/>
        <v>2.442910067515712</v>
      </c>
      <c r="AT19">
        <v>4.1596000000000002</v>
      </c>
      <c r="AU19" s="11">
        <f t="shared" si="9"/>
        <v>4159600000</v>
      </c>
      <c r="AV19">
        <v>1251368.8909532113</v>
      </c>
      <c r="AW19" s="11">
        <f t="shared" si="10"/>
        <v>1010480379.4447181</v>
      </c>
      <c r="AY19" s="11">
        <f t="shared" si="11"/>
        <v>3.116457958625376</v>
      </c>
      <c r="AZ19" s="11">
        <f t="shared" si="12"/>
        <v>4.116457958625376</v>
      </c>
      <c r="BG19">
        <v>2.9908999999999999</v>
      </c>
      <c r="BH19" s="11">
        <f t="shared" si="13"/>
        <v>29909000000</v>
      </c>
      <c r="BI19">
        <v>1251368.8909532113</v>
      </c>
      <c r="BJ19" s="11">
        <f t="shared" si="14"/>
        <v>1010480379.4447181</v>
      </c>
      <c r="BL19" s="11">
        <f t="shared" si="15"/>
        <v>29.598793413916333</v>
      </c>
      <c r="BM19" s="11">
        <f t="shared" si="16"/>
        <v>28.598793413916333</v>
      </c>
    </row>
    <row r="20" spans="1:65" x14ac:dyDescent="0.3">
      <c r="A20" t="s">
        <v>47</v>
      </c>
      <c r="B20">
        <v>3.6791999999999998</v>
      </c>
      <c r="C20">
        <f t="shared" si="0"/>
        <v>3679200000</v>
      </c>
      <c r="D20">
        <v>1289655.8410573017</v>
      </c>
      <c r="E20">
        <f t="shared" si="1"/>
        <v>1041397091.6537712</v>
      </c>
      <c r="H20" s="8">
        <f t="shared" si="4"/>
        <v>2.5329462982821616</v>
      </c>
      <c r="X20" s="10"/>
      <c r="Y20" s="10">
        <v>5.1592000000000002</v>
      </c>
      <c r="Z20" s="11">
        <f t="shared" si="5"/>
        <v>5159200000</v>
      </c>
      <c r="AA20">
        <v>1814251.2800259648</v>
      </c>
      <c r="AB20" s="11">
        <f t="shared" si="6"/>
        <v>1465007908.6209667</v>
      </c>
      <c r="AD20" s="8">
        <f t="shared" si="7"/>
        <v>2.5216192142310208</v>
      </c>
      <c r="AE20" s="8">
        <f t="shared" si="8"/>
        <v>3.5216192142310208</v>
      </c>
      <c r="AT20">
        <v>4.2869000000000002</v>
      </c>
      <c r="AU20" s="11">
        <f t="shared" si="9"/>
        <v>4286900000</v>
      </c>
      <c r="AV20">
        <v>1289655.8410573017</v>
      </c>
      <c r="AW20" s="11">
        <f t="shared" si="10"/>
        <v>1041397091.6537712</v>
      </c>
      <c r="AY20" s="11">
        <f t="shared" si="11"/>
        <v>3.1164893145536525</v>
      </c>
      <c r="AZ20" s="11">
        <f t="shared" si="12"/>
        <v>4.116489314553653</v>
      </c>
      <c r="BG20">
        <v>3.0825</v>
      </c>
      <c r="BH20" s="11">
        <f t="shared" si="13"/>
        <v>30825000000</v>
      </c>
      <c r="BI20">
        <v>1289655.8410573017</v>
      </c>
      <c r="BJ20" s="11">
        <f t="shared" si="14"/>
        <v>1041397091.6537712</v>
      </c>
      <c r="BL20" s="11">
        <f t="shared" si="15"/>
        <v>29.599660155617428</v>
      </c>
      <c r="BM20" s="11">
        <f t="shared" si="16"/>
        <v>28.599660155617428</v>
      </c>
    </row>
    <row r="21" spans="1:65" x14ac:dyDescent="0.3">
      <c r="A21" t="s">
        <v>48</v>
      </c>
      <c r="B21">
        <v>4.0239000000000003</v>
      </c>
      <c r="C21">
        <f t="shared" si="0"/>
        <v>4023900000.0000005</v>
      </c>
      <c r="D21">
        <v>1410487.9267109034</v>
      </c>
      <c r="E21">
        <f t="shared" si="1"/>
        <v>1138969000.8190546</v>
      </c>
      <c r="H21" s="8">
        <f t="shared" si="4"/>
        <v>2.5329319736589286</v>
      </c>
      <c r="X21" s="10"/>
      <c r="Y21" s="10">
        <v>5.6425000000000001</v>
      </c>
      <c r="Z21" s="11">
        <f t="shared" si="5"/>
        <v>5642500000</v>
      </c>
      <c r="AA21">
        <v>1984234.4329619687</v>
      </c>
      <c r="AB21" s="11">
        <f t="shared" si="6"/>
        <v>1602269304.6167898</v>
      </c>
      <c r="AD21" s="8">
        <f t="shared" si="7"/>
        <v>2.5215678061994082</v>
      </c>
      <c r="AE21" s="8">
        <f t="shared" si="8"/>
        <v>3.5215678061994082</v>
      </c>
      <c r="AT21">
        <v>4.6886000000000001</v>
      </c>
      <c r="AU21" s="11">
        <f t="shared" si="9"/>
        <v>4688600000</v>
      </c>
      <c r="AV21">
        <v>1410487.9267109034</v>
      </c>
      <c r="AW21" s="11">
        <f t="shared" si="10"/>
        <v>1138969000.8190546</v>
      </c>
      <c r="AY21" s="11">
        <f t="shared" si="11"/>
        <v>3.116529946494011</v>
      </c>
      <c r="AZ21" s="11">
        <f t="shared" si="12"/>
        <v>4.116529946494011</v>
      </c>
      <c r="BG21">
        <v>3.3713000000000002</v>
      </c>
      <c r="BH21" s="11">
        <f t="shared" si="13"/>
        <v>33713000000</v>
      </c>
      <c r="BI21">
        <v>1410487.9267109034</v>
      </c>
      <c r="BJ21" s="11">
        <f t="shared" si="14"/>
        <v>1138969000.8190546</v>
      </c>
      <c r="BL21" s="11">
        <f t="shared" si="15"/>
        <v>29.599576437775156</v>
      </c>
      <c r="BM21" s="11">
        <f t="shared" si="16"/>
        <v>28.599576437775156</v>
      </c>
    </row>
    <row r="22" spans="1:65" x14ac:dyDescent="0.3">
      <c r="A22" t="s">
        <v>49</v>
      </c>
      <c r="B22">
        <v>4.6182999999999996</v>
      </c>
      <c r="C22">
        <f t="shared" si="0"/>
        <v>4618300000</v>
      </c>
      <c r="D22">
        <v>1618815.686173036</v>
      </c>
      <c r="E22">
        <f t="shared" si="1"/>
        <v>1307193666.5847266</v>
      </c>
      <c r="H22" s="8">
        <f t="shared" si="4"/>
        <v>2.5329883536432067</v>
      </c>
      <c r="X22" s="10"/>
      <c r="Y22" s="10">
        <v>6.476</v>
      </c>
      <c r="Z22" s="11">
        <f t="shared" si="5"/>
        <v>6476000000</v>
      </c>
      <c r="AA22">
        <v>2277304.0196194854</v>
      </c>
      <c r="AB22" s="11">
        <f t="shared" si="6"/>
        <v>1838922995.8427343</v>
      </c>
      <c r="AD22" s="8">
        <f t="shared" si="7"/>
        <v>2.5216265252217398</v>
      </c>
      <c r="AE22" s="8">
        <f t="shared" si="8"/>
        <v>3.5216265252217398</v>
      </c>
      <c r="AT22">
        <v>5.3811</v>
      </c>
      <c r="AU22" s="11">
        <f t="shared" si="9"/>
        <v>5381100000</v>
      </c>
      <c r="AV22">
        <v>1618815.686173036</v>
      </c>
      <c r="AW22" s="11">
        <f t="shared" si="10"/>
        <v>1307193666.5847266</v>
      </c>
      <c r="AY22" s="11">
        <f t="shared" si="11"/>
        <v>3.1165285126105839</v>
      </c>
      <c r="AZ22" s="11">
        <f t="shared" si="12"/>
        <v>4.1165285126105839</v>
      </c>
      <c r="BG22">
        <v>3.8692000000000002</v>
      </c>
      <c r="BH22" s="11">
        <f t="shared" si="13"/>
        <v>38692000000</v>
      </c>
      <c r="BI22">
        <v>1618815.686173036</v>
      </c>
      <c r="BJ22" s="11">
        <f t="shared" si="14"/>
        <v>1307193666.5847266</v>
      </c>
      <c r="BL22" s="11">
        <f t="shared" si="15"/>
        <v>29.599286616106134</v>
      </c>
      <c r="BM22" s="11">
        <f t="shared" si="16"/>
        <v>28.599286616106134</v>
      </c>
    </row>
    <row r="23" spans="1:65" x14ac:dyDescent="0.3">
      <c r="A23" t="s">
        <v>50</v>
      </c>
      <c r="B23">
        <v>4.8129</v>
      </c>
      <c r="C23">
        <f t="shared" si="0"/>
        <v>4812900000</v>
      </c>
      <c r="D23">
        <v>1687046.2596804185</v>
      </c>
      <c r="E23">
        <f t="shared" si="1"/>
        <v>1362289854.6919379</v>
      </c>
      <c r="H23" s="8">
        <f t="shared" si="4"/>
        <v>2.5329485743607534</v>
      </c>
      <c r="X23" s="10"/>
      <c r="Y23" s="10">
        <v>6.7488999999999999</v>
      </c>
      <c r="Z23" s="11">
        <f t="shared" si="5"/>
        <v>6748900000</v>
      </c>
      <c r="AA23">
        <v>2373288.8563346737</v>
      </c>
      <c r="AB23" s="11">
        <f t="shared" si="6"/>
        <v>1916430751.4902489</v>
      </c>
      <c r="AD23" s="8">
        <f t="shared" si="7"/>
        <v>2.5215986775164936</v>
      </c>
      <c r="AE23" s="8">
        <f t="shared" si="8"/>
        <v>3.5215986775164931</v>
      </c>
      <c r="AT23">
        <v>5.6078999999999999</v>
      </c>
      <c r="AU23" s="11">
        <f t="shared" si="9"/>
        <v>5607900000</v>
      </c>
      <c r="AV23">
        <v>1687046.2596804185</v>
      </c>
      <c r="AW23" s="11">
        <f t="shared" si="10"/>
        <v>1362289854.6919379</v>
      </c>
      <c r="AY23" s="11">
        <f t="shared" si="11"/>
        <v>3.1165248208268754</v>
      </c>
      <c r="AZ23" s="11">
        <f t="shared" si="12"/>
        <v>4.1165248208268759</v>
      </c>
      <c r="BG23">
        <v>4.0323000000000002</v>
      </c>
      <c r="BH23" s="11">
        <f t="shared" si="13"/>
        <v>40323000000</v>
      </c>
      <c r="BI23">
        <v>1687046.2596804185</v>
      </c>
      <c r="BJ23" s="11">
        <f t="shared" si="14"/>
        <v>1362289854.6919379</v>
      </c>
      <c r="BL23" s="11">
        <f t="shared" si="15"/>
        <v>29.599427655664705</v>
      </c>
      <c r="BM23" s="11">
        <f t="shared" si="16"/>
        <v>28.599427655664705</v>
      </c>
    </row>
    <row r="24" spans="1:65" x14ac:dyDescent="0.3">
      <c r="A24" t="s">
        <v>51</v>
      </c>
      <c r="B24">
        <v>4.3384</v>
      </c>
      <c r="C24">
        <f t="shared" si="0"/>
        <v>4338400000</v>
      </c>
      <c r="D24">
        <v>1520728.1786524851</v>
      </c>
      <c r="E24">
        <f t="shared" si="1"/>
        <v>1227988004.2618818</v>
      </c>
      <c r="H24" s="8">
        <f t="shared" si="4"/>
        <v>2.5329335343204127</v>
      </c>
      <c r="X24" s="10"/>
      <c r="Y24" s="10">
        <v>6.0835999999999997</v>
      </c>
      <c r="Z24" s="11">
        <f t="shared" si="5"/>
        <v>6083600000</v>
      </c>
      <c r="AA24">
        <v>2139317.2944728583</v>
      </c>
      <c r="AB24" s="11">
        <f t="shared" si="6"/>
        <v>1727498715.286833</v>
      </c>
      <c r="AD24" s="8">
        <f t="shared" si="7"/>
        <v>2.5216234583363395</v>
      </c>
      <c r="AE24" s="8">
        <f t="shared" si="8"/>
        <v>3.5216234583363391</v>
      </c>
      <c r="AT24">
        <v>5.0549999999999997</v>
      </c>
      <c r="AU24" s="11">
        <f t="shared" si="9"/>
        <v>5055000000</v>
      </c>
      <c r="AV24">
        <v>1520728.1786524851</v>
      </c>
      <c r="AW24" s="11">
        <f t="shared" si="10"/>
        <v>1227988004.2618818</v>
      </c>
      <c r="AY24" s="11">
        <f t="shared" si="11"/>
        <v>3.1164897233979545</v>
      </c>
      <c r="AZ24" s="11">
        <f t="shared" si="12"/>
        <v>4.1164897233979545</v>
      </c>
      <c r="BG24">
        <v>3.6347999999999998</v>
      </c>
      <c r="BH24" s="11">
        <f t="shared" si="13"/>
        <v>36348000000</v>
      </c>
      <c r="BI24">
        <v>1520728.1786524851</v>
      </c>
      <c r="BJ24" s="11">
        <f t="shared" si="14"/>
        <v>1227988004.2618818</v>
      </c>
      <c r="BL24" s="11">
        <f t="shared" si="15"/>
        <v>29.599637678747545</v>
      </c>
      <c r="BM24" s="11">
        <f t="shared" si="16"/>
        <v>28.599637678747548</v>
      </c>
    </row>
    <row r="25" spans="1:65" x14ac:dyDescent="0.3">
      <c r="A25" t="s">
        <v>52</v>
      </c>
      <c r="B25">
        <v>4.1200999999999999</v>
      </c>
      <c r="C25">
        <f t="shared" si="0"/>
        <v>4120100000</v>
      </c>
      <c r="D25">
        <v>1444216.7970312294</v>
      </c>
      <c r="E25">
        <f t="shared" si="1"/>
        <v>1166205063.6027176</v>
      </c>
      <c r="H25" s="8">
        <f t="shared" si="4"/>
        <v>2.5329121169067088</v>
      </c>
      <c r="X25" s="10"/>
      <c r="Y25" s="10">
        <v>5.7774999999999999</v>
      </c>
      <c r="Z25" s="11">
        <f t="shared" si="5"/>
        <v>5777500000</v>
      </c>
      <c r="AA25">
        <v>2031683.2516346416</v>
      </c>
      <c r="AB25" s="11">
        <f t="shared" si="6"/>
        <v>1640584225.694973</v>
      </c>
      <c r="AD25" s="8">
        <f t="shared" si="7"/>
        <v>2.5216113318123456</v>
      </c>
      <c r="AE25" s="8">
        <f t="shared" si="8"/>
        <v>3.5216113318123456</v>
      </c>
      <c r="AT25">
        <v>4.8007</v>
      </c>
      <c r="AU25" s="11">
        <f t="shared" si="9"/>
        <v>4800700000</v>
      </c>
      <c r="AV25">
        <v>1444216.7970312294</v>
      </c>
      <c r="AW25" s="11">
        <f t="shared" si="10"/>
        <v>1166205063.6027176</v>
      </c>
      <c r="AY25" s="11">
        <f t="shared" si="11"/>
        <v>3.1165144534438576</v>
      </c>
      <c r="AZ25" s="11">
        <f t="shared" si="12"/>
        <v>4.1165144534438571</v>
      </c>
      <c r="BG25">
        <v>3.4519000000000002</v>
      </c>
      <c r="BH25" s="11">
        <f t="shared" si="13"/>
        <v>34519000000</v>
      </c>
      <c r="BI25">
        <v>1444216.7970312294</v>
      </c>
      <c r="BJ25" s="11">
        <f t="shared" si="14"/>
        <v>1166205063.6027176</v>
      </c>
      <c r="BL25" s="11">
        <f t="shared" si="15"/>
        <v>29.599425587607747</v>
      </c>
      <c r="BM25" s="11">
        <f t="shared" si="16"/>
        <v>28.599425587607747</v>
      </c>
    </row>
    <row r="26" spans="1:65" x14ac:dyDescent="0.3">
      <c r="A26" t="s">
        <v>53</v>
      </c>
      <c r="B26">
        <v>3.7353999999999998</v>
      </c>
      <c r="C26">
        <f t="shared" si="0"/>
        <v>3735400000</v>
      </c>
      <c r="D26">
        <v>1309331.1708895892</v>
      </c>
      <c r="E26">
        <f t="shared" si="1"/>
        <v>1057284920.4933434</v>
      </c>
      <c r="H26" s="8">
        <f t="shared" si="4"/>
        <v>2.5330117053565959</v>
      </c>
      <c r="X26" s="10"/>
      <c r="Y26" s="10">
        <v>5.2378999999999998</v>
      </c>
      <c r="Z26" s="11">
        <f t="shared" si="5"/>
        <v>5237900000</v>
      </c>
      <c r="AA26">
        <v>1841929.9763081418</v>
      </c>
      <c r="AB26" s="11">
        <f t="shared" si="6"/>
        <v>1487358455.8688245</v>
      </c>
      <c r="AD26" s="8">
        <f t="shared" si="7"/>
        <v>2.5216124124835373</v>
      </c>
      <c r="AE26" s="8">
        <f t="shared" si="8"/>
        <v>3.5216124124835373</v>
      </c>
      <c r="AT26">
        <v>4.3522999999999996</v>
      </c>
      <c r="AU26" s="11">
        <f t="shared" si="9"/>
        <v>4352300000</v>
      </c>
      <c r="AV26">
        <v>1309331.1708895892</v>
      </c>
      <c r="AW26" s="11">
        <f t="shared" si="10"/>
        <v>1057284920.4933434</v>
      </c>
      <c r="AY26" s="11">
        <f t="shared" si="11"/>
        <v>3.1164873494735539</v>
      </c>
      <c r="AZ26" s="11">
        <f t="shared" si="12"/>
        <v>4.1164873494735534</v>
      </c>
      <c r="BG26">
        <v>3.1295000000000002</v>
      </c>
      <c r="BH26" s="11">
        <f t="shared" si="13"/>
        <v>31295000000</v>
      </c>
      <c r="BI26">
        <v>1309331.1708895892</v>
      </c>
      <c r="BJ26" s="11">
        <f t="shared" si="14"/>
        <v>1057284920.4933434</v>
      </c>
      <c r="BL26" s="11">
        <f t="shared" si="15"/>
        <v>29.599400685103248</v>
      </c>
      <c r="BM26" s="11">
        <f t="shared" si="16"/>
        <v>28.599400685103248</v>
      </c>
    </row>
    <row r="27" spans="1:65" s="1" customFormat="1" x14ac:dyDescent="0.3">
      <c r="A27" s="1" t="s">
        <v>54</v>
      </c>
      <c r="B27" s="1">
        <v>4.3749000000000002</v>
      </c>
      <c r="C27" s="1">
        <f t="shared" si="0"/>
        <v>4374900000</v>
      </c>
      <c r="D27" s="1">
        <v>1533529.1311675508</v>
      </c>
      <c r="E27" s="1">
        <f t="shared" si="1"/>
        <v>1238324773.4177973</v>
      </c>
      <c r="H27" s="13">
        <f t="shared" si="4"/>
        <v>2.532918095408204</v>
      </c>
      <c r="X27" s="15"/>
      <c r="Y27" s="15">
        <v>6.1348000000000003</v>
      </c>
      <c r="Z27" s="14">
        <f t="shared" si="5"/>
        <v>6134800000</v>
      </c>
      <c r="AA27" s="1">
        <v>2157325.3116094065</v>
      </c>
      <c r="AB27" s="14">
        <f t="shared" si="6"/>
        <v>1742040189.1245956</v>
      </c>
      <c r="AD27" s="13">
        <f t="shared" si="7"/>
        <v>2.5216179502051785</v>
      </c>
      <c r="AE27" s="13">
        <f t="shared" si="8"/>
        <v>3.5216179502051785</v>
      </c>
      <c r="AT27" s="1">
        <v>5.0975999999999999</v>
      </c>
      <c r="AU27" s="14">
        <f t="shared" si="9"/>
        <v>5097600000</v>
      </c>
      <c r="AV27" s="1">
        <v>1533529.1311675508</v>
      </c>
      <c r="AW27" s="14">
        <f t="shared" si="10"/>
        <v>1238324773.4177973</v>
      </c>
      <c r="AY27" s="14">
        <f t="shared" si="11"/>
        <v>3.116529128243585</v>
      </c>
      <c r="AZ27" s="14">
        <f t="shared" si="12"/>
        <v>4.1165291282435845</v>
      </c>
      <c r="BG27" s="1">
        <v>3.6654</v>
      </c>
      <c r="BH27" s="14">
        <f t="shared" si="13"/>
        <v>36654000000</v>
      </c>
      <c r="BI27" s="1">
        <v>1533529.1311675508</v>
      </c>
      <c r="BJ27" s="14">
        <f t="shared" si="14"/>
        <v>1238324773.4177973</v>
      </c>
      <c r="BL27" s="14">
        <f t="shared" si="15"/>
        <v>29.599666248163913</v>
      </c>
      <c r="BM27" s="14">
        <f t="shared" si="16"/>
        <v>28.59966624816391</v>
      </c>
    </row>
    <row r="28" spans="1:65" x14ac:dyDescent="0.3">
      <c r="A28" t="s">
        <v>43</v>
      </c>
      <c r="B28">
        <v>3.7549999999999999</v>
      </c>
      <c r="C28">
        <f t="shared" si="0"/>
        <v>3755000000</v>
      </c>
      <c r="D28">
        <v>1315901.1208688749</v>
      </c>
      <c r="E28">
        <f t="shared" si="1"/>
        <v>1062590155.1016165</v>
      </c>
      <c r="H28" s="8">
        <f t="shared" si="4"/>
        <v>2.5338177960447092</v>
      </c>
      <c r="X28" s="10"/>
      <c r="Y28" s="10">
        <v>5.3019999999999996</v>
      </c>
      <c r="Z28" s="11">
        <f t="shared" si="5"/>
        <v>5302000000</v>
      </c>
      <c r="AA28">
        <v>1863720.8798029022</v>
      </c>
      <c r="AB28" s="11">
        <f t="shared" si="6"/>
        <v>1504954610.4408436</v>
      </c>
      <c r="AD28" s="8">
        <f t="shared" si="7"/>
        <v>2.5230298397151625</v>
      </c>
      <c r="AE28" s="8">
        <f t="shared" si="8"/>
        <v>3.5230298397151625</v>
      </c>
      <c r="AT28">
        <v>4.3608000000000002</v>
      </c>
      <c r="AU28" s="11">
        <f t="shared" si="9"/>
        <v>4360800000</v>
      </c>
      <c r="AV28">
        <v>1315901.1208688749</v>
      </c>
      <c r="AW28" s="11">
        <f t="shared" si="10"/>
        <v>1062590155.1016165</v>
      </c>
      <c r="AY28" s="11">
        <f t="shared" si="11"/>
        <v>3.1039341264958105</v>
      </c>
      <c r="AZ28" s="11">
        <f t="shared" si="12"/>
        <v>4.10393412649581</v>
      </c>
      <c r="BG28">
        <v>3.1777000000000002</v>
      </c>
      <c r="BH28" s="11">
        <f t="shared" si="13"/>
        <v>31777000000.000004</v>
      </c>
      <c r="BI28">
        <v>1315901.1208688749</v>
      </c>
      <c r="BJ28" s="11">
        <f t="shared" si="14"/>
        <v>1062590155.1016165</v>
      </c>
      <c r="BL28" s="11">
        <f t="shared" si="15"/>
        <v>29.905227191721099</v>
      </c>
      <c r="BM28" s="11">
        <f t="shared" si="16"/>
        <v>28.905227191721103</v>
      </c>
    </row>
    <row r="29" spans="1:65" x14ac:dyDescent="0.3">
      <c r="A29" t="s">
        <v>44</v>
      </c>
      <c r="B29">
        <v>3.3967999999999998</v>
      </c>
      <c r="C29">
        <f t="shared" si="0"/>
        <v>3396800000</v>
      </c>
      <c r="D29">
        <v>1190385.0886656644</v>
      </c>
      <c r="E29">
        <f t="shared" si="1"/>
        <v>961235959.09752405</v>
      </c>
      <c r="H29" s="8">
        <f t="shared" si="4"/>
        <v>2.5337837373345402</v>
      </c>
      <c r="Y29" s="10">
        <v>4.7962999999999996</v>
      </c>
      <c r="Z29" s="11">
        <f t="shared" si="5"/>
        <v>4796300000</v>
      </c>
      <c r="AA29">
        <v>1685951.5578855549</v>
      </c>
      <c r="AB29" s="11">
        <f t="shared" si="6"/>
        <v>1361405882.9925857</v>
      </c>
      <c r="AD29" s="8">
        <f t="shared" si="7"/>
        <v>2.5230492683467571</v>
      </c>
      <c r="AE29" s="8">
        <f t="shared" si="8"/>
        <v>3.5230492683467571</v>
      </c>
      <c r="AT29">
        <v>3.9447999999999999</v>
      </c>
      <c r="AU29" s="11">
        <f t="shared" si="9"/>
        <v>3944800000</v>
      </c>
      <c r="AV29">
        <v>1190385.0886656644</v>
      </c>
      <c r="AW29" s="11">
        <f t="shared" si="10"/>
        <v>961235959.09752405</v>
      </c>
      <c r="AY29" s="11">
        <f t="shared" si="11"/>
        <v>3.1038830920387701</v>
      </c>
      <c r="AZ29" s="11">
        <f t="shared" si="12"/>
        <v>4.1038830920387701</v>
      </c>
      <c r="BG29">
        <v>2.8746</v>
      </c>
      <c r="BH29" s="11">
        <f t="shared" si="13"/>
        <v>28746000000</v>
      </c>
      <c r="BI29">
        <v>1190385.0886656644</v>
      </c>
      <c r="BJ29" s="11">
        <f t="shared" si="14"/>
        <v>961235959.09752405</v>
      </c>
      <c r="BL29" s="11">
        <f t="shared" si="15"/>
        <v>29.90524826702152</v>
      </c>
      <c r="BM29" s="11">
        <f t="shared" si="16"/>
        <v>28.905248267021523</v>
      </c>
    </row>
    <row r="30" spans="1:65" x14ac:dyDescent="0.3">
      <c r="A30" t="s">
        <v>45</v>
      </c>
      <c r="B30">
        <v>3.8708999999999998</v>
      </c>
      <c r="C30">
        <f t="shared" si="0"/>
        <v>3870900000</v>
      </c>
      <c r="D30">
        <v>1356522.2992170807</v>
      </c>
      <c r="E30">
        <f t="shared" si="1"/>
        <v>1095391756.6177926</v>
      </c>
      <c r="H30" s="8">
        <f t="shared" si="4"/>
        <v>2.5338042089636121</v>
      </c>
      <c r="Y30" s="10">
        <v>5.4657</v>
      </c>
      <c r="Z30" s="11">
        <f t="shared" si="5"/>
        <v>5465700000</v>
      </c>
      <c r="AA30">
        <v>1921252.9671680685</v>
      </c>
      <c r="AB30" s="11">
        <f t="shared" si="6"/>
        <v>1551411770.9882152</v>
      </c>
      <c r="AD30" s="8">
        <f t="shared" si="7"/>
        <v>2.5230492008697789</v>
      </c>
      <c r="AE30" s="8">
        <f t="shared" si="8"/>
        <v>3.5230492008697789</v>
      </c>
      <c r="AT30">
        <v>4.4954000000000001</v>
      </c>
      <c r="AU30" s="11">
        <f t="shared" si="9"/>
        <v>4495400000</v>
      </c>
      <c r="AV30">
        <v>1356522.2992170807</v>
      </c>
      <c r="AW30" s="11">
        <f t="shared" si="10"/>
        <v>1095391756.6177926</v>
      </c>
      <c r="AY30" s="11">
        <f t="shared" si="11"/>
        <v>3.1039198741830121</v>
      </c>
      <c r="AZ30" s="11">
        <f t="shared" si="12"/>
        <v>4.1039198741830116</v>
      </c>
      <c r="BG30">
        <v>3.2757999999999998</v>
      </c>
      <c r="BH30" s="11">
        <f t="shared" si="13"/>
        <v>32758000000</v>
      </c>
      <c r="BI30">
        <v>1356522.2992170807</v>
      </c>
      <c r="BJ30" s="11">
        <f t="shared" si="14"/>
        <v>1095391756.6177926</v>
      </c>
      <c r="BL30" s="11">
        <f t="shared" si="15"/>
        <v>29.90528256406262</v>
      </c>
      <c r="BM30" s="11">
        <f t="shared" si="16"/>
        <v>28.90528256406262</v>
      </c>
    </row>
    <row r="31" spans="1:65" x14ac:dyDescent="0.3">
      <c r="A31" t="s">
        <v>46</v>
      </c>
      <c r="B31">
        <v>3.6551999999999998</v>
      </c>
      <c r="C31">
        <f t="shared" si="0"/>
        <v>3655200000</v>
      </c>
      <c r="D31">
        <v>1280928.7860150982</v>
      </c>
      <c r="E31">
        <f t="shared" si="1"/>
        <v>1034349994.7071918</v>
      </c>
      <c r="H31" s="8">
        <f t="shared" si="4"/>
        <v>2.5338135241492696</v>
      </c>
      <c r="Y31" s="10">
        <v>5.1611000000000002</v>
      </c>
      <c r="Z31" s="11">
        <f t="shared" si="5"/>
        <v>5161100000</v>
      </c>
      <c r="AA31">
        <v>1814189.2929315376</v>
      </c>
      <c r="AB31" s="11">
        <f t="shared" si="6"/>
        <v>1464957854.0422165</v>
      </c>
      <c r="AD31" s="8">
        <f t="shared" si="7"/>
        <v>2.5230365063125357</v>
      </c>
      <c r="AE31" s="8">
        <f t="shared" si="8"/>
        <v>3.5230365063125357</v>
      </c>
      <c r="AT31">
        <v>4.2449000000000003</v>
      </c>
      <c r="AU31" s="11">
        <f t="shared" si="9"/>
        <v>4244900000.0000005</v>
      </c>
      <c r="AV31">
        <v>1280928.7860150982</v>
      </c>
      <c r="AW31" s="11">
        <f t="shared" si="10"/>
        <v>1034349994.7071918</v>
      </c>
      <c r="AY31" s="11">
        <f t="shared" si="11"/>
        <v>3.1039300253505244</v>
      </c>
      <c r="AZ31" s="11">
        <f t="shared" si="12"/>
        <v>4.1039300253505244</v>
      </c>
      <c r="BG31">
        <v>3.0933000000000002</v>
      </c>
      <c r="BH31" s="11">
        <f t="shared" si="13"/>
        <v>30933000000</v>
      </c>
      <c r="BI31">
        <v>1280928.7860150982</v>
      </c>
      <c r="BJ31" s="11">
        <f t="shared" si="14"/>
        <v>1034349994.7071918</v>
      </c>
      <c r="BL31" s="11">
        <f t="shared" si="15"/>
        <v>29.905738056059686</v>
      </c>
      <c r="BM31" s="11">
        <f t="shared" si="16"/>
        <v>28.905738056059686</v>
      </c>
    </row>
    <row r="32" spans="1:65" x14ac:dyDescent="0.3">
      <c r="A32" t="s">
        <v>47</v>
      </c>
      <c r="B32">
        <v>3.7671000000000001</v>
      </c>
      <c r="C32">
        <f t="shared" si="0"/>
        <v>3767100000</v>
      </c>
      <c r="D32">
        <v>1320120.1522633797</v>
      </c>
      <c r="E32">
        <f t="shared" si="1"/>
        <v>1065997022.952679</v>
      </c>
      <c r="H32" s="8">
        <f t="shared" si="4"/>
        <v>2.533874784720882</v>
      </c>
      <c r="Y32" s="10">
        <v>5.3190999999999997</v>
      </c>
      <c r="Z32" s="11">
        <f t="shared" si="5"/>
        <v>5319100000</v>
      </c>
      <c r="AA32">
        <v>1869696.3264210268</v>
      </c>
      <c r="AB32" s="11">
        <f t="shared" si="6"/>
        <v>1509779783.5849791</v>
      </c>
      <c r="AD32" s="8">
        <f t="shared" si="7"/>
        <v>2.5230965852316372</v>
      </c>
      <c r="AE32" s="8">
        <f t="shared" si="8"/>
        <v>3.5230965852316372</v>
      </c>
      <c r="AT32">
        <v>4.3747999999999996</v>
      </c>
      <c r="AU32" s="11">
        <f t="shared" si="9"/>
        <v>4374800000</v>
      </c>
      <c r="AV32">
        <v>1320120.1522633797</v>
      </c>
      <c r="AW32" s="11">
        <f t="shared" si="10"/>
        <v>1065997022.952679</v>
      </c>
      <c r="AY32" s="11">
        <f t="shared" si="11"/>
        <v>3.1039514236938004</v>
      </c>
      <c r="AZ32" s="11">
        <f t="shared" si="12"/>
        <v>4.1039514236938004</v>
      </c>
      <c r="BG32">
        <v>3.1879</v>
      </c>
      <c r="BH32" s="11">
        <f t="shared" si="13"/>
        <v>31879000000</v>
      </c>
      <c r="BI32">
        <v>1320120.1522633797</v>
      </c>
      <c r="BJ32" s="11">
        <f t="shared" si="14"/>
        <v>1065997022.952679</v>
      </c>
      <c r="BL32" s="11">
        <f t="shared" si="15"/>
        <v>29.905336800753101</v>
      </c>
      <c r="BM32" s="11">
        <f t="shared" si="16"/>
        <v>28.905336800753101</v>
      </c>
    </row>
    <row r="33" spans="1:65" x14ac:dyDescent="0.3">
      <c r="A33" t="s">
        <v>48</v>
      </c>
      <c r="B33">
        <v>4.12</v>
      </c>
      <c r="C33">
        <f t="shared" si="0"/>
        <v>4120000000</v>
      </c>
      <c r="D33">
        <v>1443806.5391528932</v>
      </c>
      <c r="E33">
        <f t="shared" si="1"/>
        <v>1165873780.3659613</v>
      </c>
      <c r="H33" s="8">
        <f t="shared" si="4"/>
        <v>2.5338302219188384</v>
      </c>
      <c r="Y33" s="10">
        <v>5.8174000000000001</v>
      </c>
      <c r="Z33" s="11">
        <f t="shared" si="5"/>
        <v>5817400000</v>
      </c>
      <c r="AA33">
        <v>2044874.3076063902</v>
      </c>
      <c r="AB33" s="11">
        <f t="shared" si="6"/>
        <v>1651236003.3921602</v>
      </c>
      <c r="AD33" s="8">
        <f t="shared" si="7"/>
        <v>2.5230578718300856</v>
      </c>
      <c r="AE33" s="8">
        <f t="shared" si="8"/>
        <v>3.5230578718300856</v>
      </c>
      <c r="AT33">
        <v>4.7847</v>
      </c>
      <c r="AU33" s="11">
        <f t="shared" si="9"/>
        <v>4784700000</v>
      </c>
      <c r="AV33">
        <v>1443806.5391528932</v>
      </c>
      <c r="AW33" s="11">
        <f t="shared" si="10"/>
        <v>1165873780.3659613</v>
      </c>
      <c r="AY33" s="11">
        <f t="shared" si="11"/>
        <v>3.103960549226958</v>
      </c>
      <c r="AZ33" s="11">
        <f t="shared" si="12"/>
        <v>4.103960549226958</v>
      </c>
      <c r="BG33">
        <v>3.4866000000000001</v>
      </c>
      <c r="BH33" s="11">
        <f t="shared" si="13"/>
        <v>34866000000</v>
      </c>
      <c r="BI33">
        <v>1443806.5391528932</v>
      </c>
      <c r="BJ33" s="11">
        <f t="shared" si="14"/>
        <v>1165873780.3659613</v>
      </c>
      <c r="BL33" s="11">
        <f t="shared" si="15"/>
        <v>29.90546711587918</v>
      </c>
      <c r="BM33" s="11">
        <f t="shared" si="16"/>
        <v>28.905467115879176</v>
      </c>
    </row>
    <row r="34" spans="1:65" x14ac:dyDescent="0.3">
      <c r="A34" t="s">
        <v>49</v>
      </c>
      <c r="B34">
        <v>4.7285000000000004</v>
      </c>
      <c r="C34">
        <f t="shared" si="0"/>
        <v>4728500000</v>
      </c>
      <c r="D34">
        <v>1657055.4267912966</v>
      </c>
      <c r="E34">
        <f t="shared" si="1"/>
        <v>1338072257.1339719</v>
      </c>
      <c r="H34" s="8">
        <f t="shared" si="4"/>
        <v>2.533815139496288</v>
      </c>
      <c r="Y34" s="10">
        <v>6.6767000000000003</v>
      </c>
      <c r="Z34" s="11">
        <f t="shared" si="5"/>
        <v>6676700000</v>
      </c>
      <c r="AA34">
        <v>2346900.3475447199</v>
      </c>
      <c r="AB34" s="11">
        <f t="shared" si="6"/>
        <v>1895122030.6423614</v>
      </c>
      <c r="AD34" s="8">
        <f t="shared" si="7"/>
        <v>2.5230976644479712</v>
      </c>
      <c r="AE34" s="8">
        <f t="shared" si="8"/>
        <v>3.5230976644479712</v>
      </c>
      <c r="AT34">
        <v>5.4913999999999996</v>
      </c>
      <c r="AU34" s="11">
        <f t="shared" si="9"/>
        <v>5491400000</v>
      </c>
      <c r="AV34">
        <v>1657055.4267912966</v>
      </c>
      <c r="AW34" s="11">
        <f t="shared" si="10"/>
        <v>1338072257.1339719</v>
      </c>
      <c r="AY34" s="11">
        <f t="shared" si="11"/>
        <v>3.103963721482482</v>
      </c>
      <c r="AZ34" s="11">
        <f t="shared" si="12"/>
        <v>4.103963721482482</v>
      </c>
      <c r="BG34">
        <v>4.0015999999999998</v>
      </c>
      <c r="BH34" s="11">
        <f t="shared" si="13"/>
        <v>40016000000</v>
      </c>
      <c r="BI34">
        <v>1657055.4267912966</v>
      </c>
      <c r="BJ34" s="11">
        <f t="shared" si="14"/>
        <v>1338072257.1339719</v>
      </c>
      <c r="BL34" s="11">
        <f t="shared" si="15"/>
        <v>29.905709341669336</v>
      </c>
      <c r="BM34" s="11">
        <f t="shared" si="16"/>
        <v>28.905709341669336</v>
      </c>
    </row>
    <row r="35" spans="1:65" x14ac:dyDescent="0.3">
      <c r="A35" t="s">
        <v>50</v>
      </c>
      <c r="B35">
        <v>4.9278000000000004</v>
      </c>
      <c r="C35">
        <f t="shared" si="0"/>
        <v>4927800000</v>
      </c>
      <c r="D35">
        <v>1726897.7461295621</v>
      </c>
      <c r="E35">
        <f t="shared" si="1"/>
        <v>1394469929.9996214</v>
      </c>
      <c r="H35" s="8">
        <f t="shared" si="4"/>
        <v>2.5338158923235712</v>
      </c>
      <c r="Y35" s="10">
        <v>6.9581</v>
      </c>
      <c r="Z35" s="11">
        <f t="shared" si="5"/>
        <v>6958100000</v>
      </c>
      <c r="AA35">
        <v>2445818.5616721157</v>
      </c>
      <c r="AB35" s="11">
        <f t="shared" si="6"/>
        <v>1974998488.5502334</v>
      </c>
      <c r="AD35" s="8">
        <f t="shared" si="7"/>
        <v>2.5230913037850775</v>
      </c>
      <c r="AE35" s="8">
        <f t="shared" si="8"/>
        <v>3.523091303785078</v>
      </c>
      <c r="AT35">
        <v>5.7228000000000003</v>
      </c>
      <c r="AU35" s="11">
        <f t="shared" si="9"/>
        <v>5722800000</v>
      </c>
      <c r="AV35">
        <v>1726897.7461295621</v>
      </c>
      <c r="AW35" s="11">
        <f t="shared" si="10"/>
        <v>1394469929.9996214</v>
      </c>
      <c r="AY35" s="11">
        <f t="shared" si="11"/>
        <v>3.103924994640475</v>
      </c>
      <c r="AZ35" s="11">
        <f t="shared" si="12"/>
        <v>4.103924994640475</v>
      </c>
      <c r="BG35">
        <v>4.1702000000000004</v>
      </c>
      <c r="BH35" s="11">
        <f t="shared" si="13"/>
        <v>41702000000</v>
      </c>
      <c r="BI35">
        <v>1726897.7461295621</v>
      </c>
      <c r="BJ35" s="11">
        <f t="shared" si="14"/>
        <v>1394469929.9996214</v>
      </c>
      <c r="BL35" s="11">
        <f t="shared" si="15"/>
        <v>29.905270169584313</v>
      </c>
      <c r="BM35" s="11">
        <f t="shared" si="16"/>
        <v>28.905270169584313</v>
      </c>
    </row>
    <row r="36" spans="1:65" x14ac:dyDescent="0.3">
      <c r="A36" t="s">
        <v>51</v>
      </c>
      <c r="B36">
        <v>4.4420000000000002</v>
      </c>
      <c r="C36">
        <f t="shared" ref="C36:C67" si="25">B36*1000000000</f>
        <v>4442000000</v>
      </c>
      <c r="D36">
        <v>1556650.89153404</v>
      </c>
      <c r="E36">
        <f t="shared" ref="E36:E67" si="26">D36*807.5</f>
        <v>1256995594.9137373</v>
      </c>
      <c r="H36" s="8">
        <f t="shared" ref="H36:H67" si="27">(C36-E36)/E36</f>
        <v>2.5338230443877068</v>
      </c>
      <c r="Y36" s="10">
        <v>6.2721</v>
      </c>
      <c r="Z36" s="11">
        <f t="shared" si="5"/>
        <v>6272100000</v>
      </c>
      <c r="AA36">
        <v>2204696.6319172881</v>
      </c>
      <c r="AB36" s="11">
        <f t="shared" si="6"/>
        <v>1780292530.27321</v>
      </c>
      <c r="AD36" s="8">
        <f t="shared" si="7"/>
        <v>2.5230726935856214</v>
      </c>
      <c r="AE36" s="8">
        <f t="shared" si="8"/>
        <v>3.5230726935856218</v>
      </c>
      <c r="AT36">
        <v>5.1585999999999999</v>
      </c>
      <c r="AU36" s="11">
        <f t="shared" si="9"/>
        <v>5158600000</v>
      </c>
      <c r="AV36">
        <v>1556650.89153404</v>
      </c>
      <c r="AW36" s="11">
        <f t="shared" si="10"/>
        <v>1256995594.9137373</v>
      </c>
      <c r="AY36" s="11">
        <f t="shared" si="11"/>
        <v>3.1039125521788442</v>
      </c>
      <c r="AZ36" s="11">
        <f t="shared" si="12"/>
        <v>4.1039125521788442</v>
      </c>
      <c r="BG36">
        <v>3.7591000000000001</v>
      </c>
      <c r="BH36" s="11">
        <f t="shared" si="13"/>
        <v>37591000000</v>
      </c>
      <c r="BI36">
        <v>1556650.89153404</v>
      </c>
      <c r="BJ36" s="11">
        <f t="shared" si="14"/>
        <v>1256995594.9137373</v>
      </c>
      <c r="BL36" s="11">
        <f t="shared" si="15"/>
        <v>29.905434953079311</v>
      </c>
      <c r="BM36" s="11">
        <f t="shared" si="16"/>
        <v>28.905434953079311</v>
      </c>
    </row>
    <row r="37" spans="1:65" x14ac:dyDescent="0.3">
      <c r="A37" t="s">
        <v>52</v>
      </c>
      <c r="B37">
        <v>4.2184999999999997</v>
      </c>
      <c r="C37">
        <f t="shared" si="25"/>
        <v>4218499999.9999995</v>
      </c>
      <c r="D37">
        <v>1478332.154441416</v>
      </c>
      <c r="E37">
        <f t="shared" si="26"/>
        <v>1193753214.7114434</v>
      </c>
      <c r="H37" s="8">
        <f t="shared" si="27"/>
        <v>2.5338124731414475</v>
      </c>
      <c r="Y37" s="10">
        <v>5.9565000000000001</v>
      </c>
      <c r="Z37" s="11">
        <f t="shared" si="5"/>
        <v>5956500000</v>
      </c>
      <c r="AA37">
        <v>2093773.2021211809</v>
      </c>
      <c r="AB37" s="11">
        <f t="shared" si="6"/>
        <v>1690721860.7128537</v>
      </c>
      <c r="AD37" s="8">
        <f t="shared" si="7"/>
        <v>2.5230513891200177</v>
      </c>
      <c r="AE37" s="8">
        <f t="shared" si="8"/>
        <v>3.5230513891200177</v>
      </c>
      <c r="AT37">
        <v>4.8990999999999998</v>
      </c>
      <c r="AU37" s="11">
        <f t="shared" si="9"/>
        <v>4899100000</v>
      </c>
      <c r="AV37">
        <v>1478332.154441416</v>
      </c>
      <c r="AW37" s="11">
        <f t="shared" si="10"/>
        <v>1193753214.7114434</v>
      </c>
      <c r="AY37" s="11">
        <f t="shared" si="11"/>
        <v>3.1039470634508164</v>
      </c>
      <c r="AZ37" s="11">
        <f t="shared" si="12"/>
        <v>4.1039470634508159</v>
      </c>
      <c r="BG37">
        <v>3.57</v>
      </c>
      <c r="BH37" s="11">
        <f t="shared" si="13"/>
        <v>35700000000</v>
      </c>
      <c r="BI37">
        <v>1478332.154441416</v>
      </c>
      <c r="BJ37" s="11">
        <f t="shared" si="14"/>
        <v>1193753214.7114434</v>
      </c>
      <c r="BL37" s="11">
        <f t="shared" si="15"/>
        <v>29.905678627746759</v>
      </c>
      <c r="BM37" s="11">
        <f t="shared" si="16"/>
        <v>28.905678627746759</v>
      </c>
    </row>
    <row r="38" spans="1:65" x14ac:dyDescent="0.3">
      <c r="A38" t="s">
        <v>53</v>
      </c>
      <c r="B38">
        <v>3.8246000000000002</v>
      </c>
      <c r="C38">
        <f t="shared" si="25"/>
        <v>3824600000</v>
      </c>
      <c r="D38">
        <v>1340260.2536665085</v>
      </c>
      <c r="E38">
        <f t="shared" si="26"/>
        <v>1082260154.8357055</v>
      </c>
      <c r="H38" s="8">
        <f t="shared" si="27"/>
        <v>2.5339007750688189</v>
      </c>
      <c r="Y38" s="10">
        <v>5.4001999999999999</v>
      </c>
      <c r="Z38" s="11">
        <f t="shared" si="5"/>
        <v>5400200000</v>
      </c>
      <c r="AA38">
        <v>1898220.9069621351</v>
      </c>
      <c r="AB38" s="11">
        <f t="shared" si="6"/>
        <v>1532813382.3719242</v>
      </c>
      <c r="AD38" s="8">
        <f t="shared" si="7"/>
        <v>2.523064230848219</v>
      </c>
      <c r="AE38" s="8">
        <f t="shared" si="8"/>
        <v>3.523064230848219</v>
      </c>
      <c r="AT38">
        <v>4.4414999999999996</v>
      </c>
      <c r="AU38" s="11">
        <f t="shared" si="9"/>
        <v>4441500000</v>
      </c>
      <c r="AV38">
        <v>1340260.2536665085</v>
      </c>
      <c r="AW38" s="11">
        <f t="shared" si="10"/>
        <v>1082260154.8357055</v>
      </c>
      <c r="AY38" s="11">
        <f t="shared" si="11"/>
        <v>3.1039115966292319</v>
      </c>
      <c r="AZ38" s="11">
        <f t="shared" si="12"/>
        <v>4.1039115966292323</v>
      </c>
      <c r="BG38">
        <v>3.2366000000000001</v>
      </c>
      <c r="BH38" s="11">
        <f t="shared" si="13"/>
        <v>32366000000</v>
      </c>
      <c r="BI38">
        <v>1340260.2536665085</v>
      </c>
      <c r="BJ38" s="11">
        <f t="shared" si="14"/>
        <v>1082260154.8357055</v>
      </c>
      <c r="BL38" s="11">
        <f t="shared" si="15"/>
        <v>29.905933296521834</v>
      </c>
      <c r="BM38" s="11">
        <f t="shared" si="16"/>
        <v>28.905933296521834</v>
      </c>
    </row>
    <row r="39" spans="1:65" s="1" customFormat="1" x14ac:dyDescent="0.3">
      <c r="A39" s="1" t="s">
        <v>54</v>
      </c>
      <c r="B39" s="1">
        <v>4.4794</v>
      </c>
      <c r="C39" s="1">
        <f t="shared" si="25"/>
        <v>4479400000</v>
      </c>
      <c r="D39" s="1">
        <v>1569754.2287541858</v>
      </c>
      <c r="E39" s="1">
        <f t="shared" si="26"/>
        <v>1267576539.7190051</v>
      </c>
      <c r="H39" s="13">
        <f t="shared" si="27"/>
        <v>2.5338299973530498</v>
      </c>
      <c r="Y39" s="15">
        <v>6.3249000000000004</v>
      </c>
      <c r="Z39" s="14">
        <f t="shared" si="5"/>
        <v>6324900000</v>
      </c>
      <c r="AA39" s="1">
        <v>2223254.9892170825</v>
      </c>
      <c r="AB39" s="14">
        <f t="shared" si="6"/>
        <v>1795278403.7927942</v>
      </c>
      <c r="AD39" s="13">
        <f t="shared" si="7"/>
        <v>2.5230747424119304</v>
      </c>
      <c r="AE39" s="13">
        <f t="shared" si="8"/>
        <v>3.5230747424119304</v>
      </c>
      <c r="AT39" s="1">
        <v>5.202</v>
      </c>
      <c r="AU39" s="14">
        <f t="shared" si="9"/>
        <v>5202000000</v>
      </c>
      <c r="AV39" s="1">
        <v>1569754.2287541858</v>
      </c>
      <c r="AW39" s="14">
        <f t="shared" si="10"/>
        <v>1267576539.7190051</v>
      </c>
      <c r="AY39" s="14">
        <f t="shared" si="11"/>
        <v>3.1038941925772572</v>
      </c>
      <c r="AZ39" s="14">
        <f t="shared" si="12"/>
        <v>4.1038941925772567</v>
      </c>
      <c r="BG39" s="1">
        <v>3.7907000000000002</v>
      </c>
      <c r="BH39" s="14">
        <f t="shared" si="13"/>
        <v>37907000000</v>
      </c>
      <c r="BI39" s="1">
        <v>1569754.2287541858</v>
      </c>
      <c r="BJ39" s="14">
        <f t="shared" si="14"/>
        <v>1267576539.7190051</v>
      </c>
      <c r="BL39" s="14">
        <f t="shared" si="15"/>
        <v>29.905097492892367</v>
      </c>
      <c r="BM39" s="14">
        <f t="shared" si="16"/>
        <v>28.90509749289237</v>
      </c>
    </row>
    <row r="40" spans="1:65" x14ac:dyDescent="0.3">
      <c r="A40" t="s">
        <v>43</v>
      </c>
      <c r="B40">
        <v>3.8426</v>
      </c>
      <c r="C40">
        <f t="shared" si="25"/>
        <v>3842600000</v>
      </c>
      <c r="D40">
        <v>1346268.0698120028</v>
      </c>
      <c r="E40">
        <f t="shared" si="26"/>
        <v>1087111466.3731923</v>
      </c>
      <c r="H40" s="8">
        <f t="shared" si="27"/>
        <v>2.534688133517379</v>
      </c>
      <c r="Y40" s="10">
        <v>5.4614000000000003</v>
      </c>
      <c r="Z40" s="11">
        <f t="shared" si="5"/>
        <v>5461400000</v>
      </c>
      <c r="AA40">
        <v>1918988.7268793948</v>
      </c>
      <c r="AB40" s="11">
        <f t="shared" si="6"/>
        <v>1549583396.9551113</v>
      </c>
      <c r="AD40" s="8">
        <f t="shared" si="7"/>
        <v>2.5244311540324325</v>
      </c>
      <c r="AE40" s="8">
        <f t="shared" si="8"/>
        <v>3.5244311540324325</v>
      </c>
      <c r="AT40">
        <v>4.4484000000000004</v>
      </c>
      <c r="AU40" s="11">
        <f t="shared" si="9"/>
        <v>4448400000</v>
      </c>
      <c r="AV40">
        <v>1346268.0698120028</v>
      </c>
      <c r="AW40" s="11">
        <f t="shared" si="10"/>
        <v>1087111466.3731923</v>
      </c>
      <c r="AY40" s="11">
        <f t="shared" si="11"/>
        <v>3.0919446971161997</v>
      </c>
      <c r="AZ40" s="11">
        <f t="shared" si="12"/>
        <v>4.0919446971161992</v>
      </c>
      <c r="BG40">
        <v>3.2827999999999999</v>
      </c>
      <c r="BH40" s="11">
        <f t="shared" si="13"/>
        <v>32828000000</v>
      </c>
      <c r="BI40">
        <v>1346268.0698120028</v>
      </c>
      <c r="BJ40" s="11">
        <f t="shared" si="14"/>
        <v>1087111466.3731923</v>
      </c>
      <c r="BL40" s="11">
        <f t="shared" si="15"/>
        <v>30.197455381020276</v>
      </c>
      <c r="BM40" s="11">
        <f t="shared" si="16"/>
        <v>29.197455381020276</v>
      </c>
    </row>
    <row r="41" spans="1:65" x14ac:dyDescent="0.3">
      <c r="A41" t="s">
        <v>44</v>
      </c>
      <c r="B41">
        <v>3.4761000000000002</v>
      </c>
      <c r="C41">
        <f t="shared" si="25"/>
        <v>3476100000</v>
      </c>
      <c r="D41">
        <v>1217855.5137887183</v>
      </c>
      <c r="E41">
        <f t="shared" si="26"/>
        <v>983418327.38439</v>
      </c>
      <c r="H41" s="8">
        <f t="shared" si="27"/>
        <v>2.5347114276845204</v>
      </c>
      <c r="Y41" s="10">
        <v>4.9405000000000001</v>
      </c>
      <c r="Z41" s="11">
        <f t="shared" si="5"/>
        <v>4940500000</v>
      </c>
      <c r="AA41">
        <v>1735947.7316095128</v>
      </c>
      <c r="AB41" s="11">
        <f t="shared" si="6"/>
        <v>1401777793.2746816</v>
      </c>
      <c r="AD41" s="8">
        <f t="shared" si="7"/>
        <v>2.5244530364962756</v>
      </c>
      <c r="AE41" s="8">
        <f t="shared" si="8"/>
        <v>3.5244530364962756</v>
      </c>
      <c r="AT41">
        <v>4.024</v>
      </c>
      <c r="AU41" s="11">
        <f t="shared" si="9"/>
        <v>4024000000</v>
      </c>
      <c r="AV41">
        <v>1217855.5137887183</v>
      </c>
      <c r="AW41" s="11">
        <f t="shared" si="10"/>
        <v>983418327.38439</v>
      </c>
      <c r="AY41" s="11">
        <f t="shared" si="11"/>
        <v>3.0918497123220017</v>
      </c>
      <c r="AZ41" s="11">
        <f t="shared" si="12"/>
        <v>4.0918497123220012</v>
      </c>
      <c r="BG41">
        <v>2.9697</v>
      </c>
      <c r="BH41" s="11">
        <f t="shared" si="13"/>
        <v>29697000000</v>
      </c>
      <c r="BI41">
        <v>1217855.5137887183</v>
      </c>
      <c r="BJ41" s="11">
        <f t="shared" si="14"/>
        <v>983418327.38439</v>
      </c>
      <c r="BL41" s="11">
        <f t="shared" si="15"/>
        <v>30.197728853585108</v>
      </c>
      <c r="BM41" s="11">
        <f t="shared" si="16"/>
        <v>29.197728853585108</v>
      </c>
    </row>
    <row r="42" spans="1:65" x14ac:dyDescent="0.3">
      <c r="A42" t="s">
        <v>45</v>
      </c>
      <c r="B42">
        <v>3.9611999999999998</v>
      </c>
      <c r="C42">
        <f t="shared" si="25"/>
        <v>3961200000</v>
      </c>
      <c r="D42">
        <v>1387826.6599682441</v>
      </c>
      <c r="E42">
        <f t="shared" si="26"/>
        <v>1120670027.9243572</v>
      </c>
      <c r="H42" s="8">
        <f t="shared" si="27"/>
        <v>2.5346711353891695</v>
      </c>
      <c r="Y42" s="10">
        <v>5.6300999999999997</v>
      </c>
      <c r="Z42" s="11">
        <f t="shared" si="5"/>
        <v>5630100000</v>
      </c>
      <c r="AA42">
        <v>1978226.903735186</v>
      </c>
      <c r="AB42" s="11">
        <f t="shared" si="6"/>
        <v>1597418224.7661626</v>
      </c>
      <c r="AD42" s="8">
        <f t="shared" si="7"/>
        <v>2.5244996662186945</v>
      </c>
      <c r="AE42" s="8">
        <f t="shared" si="8"/>
        <v>3.5244996662186945</v>
      </c>
      <c r="AT42">
        <v>4.5857000000000001</v>
      </c>
      <c r="AU42" s="11">
        <f t="shared" si="9"/>
        <v>4585700000</v>
      </c>
      <c r="AV42">
        <v>1387826.6599682441</v>
      </c>
      <c r="AW42" s="11">
        <f t="shared" si="10"/>
        <v>1120670027.9243572</v>
      </c>
      <c r="AY42" s="11">
        <f t="shared" si="11"/>
        <v>3.0919270487615154</v>
      </c>
      <c r="AZ42" s="11">
        <f t="shared" si="12"/>
        <v>4.0919270487615158</v>
      </c>
      <c r="BG42">
        <v>3.3841999999999999</v>
      </c>
      <c r="BH42" s="11">
        <f t="shared" si="13"/>
        <v>33842000000</v>
      </c>
      <c r="BI42">
        <v>1387826.6599682441</v>
      </c>
      <c r="BJ42" s="11">
        <f t="shared" si="14"/>
        <v>1120670027.9243572</v>
      </c>
      <c r="BL42" s="11">
        <f t="shared" si="15"/>
        <v>30.198005797192842</v>
      </c>
      <c r="BM42" s="11">
        <f t="shared" si="16"/>
        <v>29.198005797192838</v>
      </c>
    </row>
    <row r="43" spans="1:65" x14ac:dyDescent="0.3">
      <c r="A43" t="s">
        <v>46</v>
      </c>
      <c r="B43">
        <v>3.7404999999999999</v>
      </c>
      <c r="C43">
        <f t="shared" si="25"/>
        <v>3740500000</v>
      </c>
      <c r="D43">
        <v>1310488.6810769851</v>
      </c>
      <c r="E43">
        <f t="shared" si="26"/>
        <v>1058219609.9696654</v>
      </c>
      <c r="H43" s="8">
        <f t="shared" si="27"/>
        <v>2.5347105315003793</v>
      </c>
      <c r="Y43" s="10">
        <v>5.3163</v>
      </c>
      <c r="Z43" s="11">
        <f t="shared" si="5"/>
        <v>5316300000</v>
      </c>
      <c r="AA43">
        <v>1867988.3019441718</v>
      </c>
      <c r="AB43" s="11">
        <f t="shared" si="6"/>
        <v>1508400553.8199186</v>
      </c>
      <c r="AD43" s="8">
        <f t="shared" si="7"/>
        <v>2.5244617131284146</v>
      </c>
      <c r="AE43" s="8">
        <f t="shared" si="8"/>
        <v>3.5244617131284146</v>
      </c>
      <c r="AT43">
        <v>4.3300999999999998</v>
      </c>
      <c r="AU43" s="11">
        <f t="shared" si="9"/>
        <v>4330100000</v>
      </c>
      <c r="AV43">
        <v>1310488.6810769851</v>
      </c>
      <c r="AW43" s="11">
        <f t="shared" si="10"/>
        <v>1058219609.9696654</v>
      </c>
      <c r="AY43" s="11">
        <f t="shared" si="11"/>
        <v>3.091872763654536</v>
      </c>
      <c r="AZ43" s="11">
        <f t="shared" si="12"/>
        <v>4.0918727636545364</v>
      </c>
      <c r="BG43">
        <v>3.1956000000000002</v>
      </c>
      <c r="BH43" s="11">
        <f t="shared" si="13"/>
        <v>31956000000.000004</v>
      </c>
      <c r="BI43">
        <v>1310488.6810769851</v>
      </c>
      <c r="BJ43" s="11">
        <f t="shared" si="14"/>
        <v>1058219609.9696654</v>
      </c>
      <c r="BL43" s="11">
        <f t="shared" si="15"/>
        <v>30.197890588056712</v>
      </c>
      <c r="BM43" s="11">
        <f t="shared" si="16"/>
        <v>29.197890588056712</v>
      </c>
    </row>
    <row r="44" spans="1:65" x14ac:dyDescent="0.3">
      <c r="A44" t="s">
        <v>47</v>
      </c>
      <c r="B44">
        <v>3.8549000000000002</v>
      </c>
      <c r="C44">
        <f t="shared" si="25"/>
        <v>3854900000</v>
      </c>
      <c r="D44">
        <v>1350584.4634694578</v>
      </c>
      <c r="E44">
        <f t="shared" si="26"/>
        <v>1090596954.2515872</v>
      </c>
      <c r="H44" s="8">
        <f t="shared" si="27"/>
        <v>2.534669691651021</v>
      </c>
      <c r="Y44" s="10">
        <v>5.4790000000000001</v>
      </c>
      <c r="Z44" s="11">
        <f t="shared" si="5"/>
        <v>5479000000</v>
      </c>
      <c r="AA44">
        <v>1925141.3728160886</v>
      </c>
      <c r="AB44" s="11">
        <f t="shared" si="6"/>
        <v>1554551658.5489914</v>
      </c>
      <c r="AD44" s="8">
        <f t="shared" si="7"/>
        <v>2.5244888581663885</v>
      </c>
      <c r="AE44" s="8">
        <f t="shared" si="8"/>
        <v>3.5244888581663885</v>
      </c>
      <c r="AT44">
        <v>4.4626000000000001</v>
      </c>
      <c r="AU44" s="11">
        <f t="shared" si="9"/>
        <v>4462600000</v>
      </c>
      <c r="AV44">
        <v>1350584.4634694578</v>
      </c>
      <c r="AW44" s="11">
        <f t="shared" si="10"/>
        <v>1090596954.2515872</v>
      </c>
      <c r="AY44" s="11">
        <f t="shared" si="11"/>
        <v>3.0918874590681589</v>
      </c>
      <c r="AZ44" s="11">
        <f t="shared" si="12"/>
        <v>4.0918874590681584</v>
      </c>
      <c r="BG44">
        <v>3.2932999999999999</v>
      </c>
      <c r="BH44" s="11">
        <f t="shared" si="13"/>
        <v>32933000000</v>
      </c>
      <c r="BI44">
        <v>1350584.4634694578</v>
      </c>
      <c r="BJ44" s="11">
        <f t="shared" si="14"/>
        <v>1090596954.2515872</v>
      </c>
      <c r="BL44" s="11">
        <f t="shared" si="15"/>
        <v>30.197223522048059</v>
      </c>
      <c r="BM44" s="11">
        <f t="shared" si="16"/>
        <v>29.197223522048059</v>
      </c>
    </row>
    <row r="45" spans="1:65" x14ac:dyDescent="0.3">
      <c r="A45" t="s">
        <v>48</v>
      </c>
      <c r="B45">
        <v>4.2161</v>
      </c>
      <c r="C45">
        <f t="shared" si="25"/>
        <v>4216100000</v>
      </c>
      <c r="D45">
        <v>1477125.1515948831</v>
      </c>
      <c r="E45">
        <f t="shared" si="26"/>
        <v>1192778559.912868</v>
      </c>
      <c r="H45" s="8">
        <f t="shared" si="27"/>
        <v>2.5346879477008577</v>
      </c>
      <c r="Y45" s="10">
        <v>5.9923000000000002</v>
      </c>
      <c r="Z45" s="11">
        <f t="shared" si="5"/>
        <v>5992300000</v>
      </c>
      <c r="AA45">
        <v>2105514.1822508117</v>
      </c>
      <c r="AB45" s="11">
        <f t="shared" si="6"/>
        <v>1700202702.1675305</v>
      </c>
      <c r="AD45" s="8">
        <f t="shared" si="7"/>
        <v>2.5244621081713499</v>
      </c>
      <c r="AE45" s="8">
        <f t="shared" si="8"/>
        <v>3.5244621081713499</v>
      </c>
      <c r="AT45">
        <v>4.8807999999999998</v>
      </c>
      <c r="AU45" s="11">
        <f t="shared" si="9"/>
        <v>4880800000</v>
      </c>
      <c r="AV45">
        <v>1477125.1515948831</v>
      </c>
      <c r="AW45" s="11">
        <f t="shared" si="10"/>
        <v>1192778559.912868</v>
      </c>
      <c r="AY45" s="11">
        <f t="shared" si="11"/>
        <v>3.0919581924381174</v>
      </c>
      <c r="AZ45" s="11">
        <f t="shared" si="12"/>
        <v>4.091958192438117</v>
      </c>
      <c r="BG45">
        <v>3.6019000000000001</v>
      </c>
      <c r="BH45" s="11">
        <f t="shared" si="13"/>
        <v>36019000000</v>
      </c>
      <c r="BI45">
        <v>1477125.1515948831</v>
      </c>
      <c r="BJ45" s="11">
        <f t="shared" si="14"/>
        <v>1192778559.912868</v>
      </c>
      <c r="BL45" s="11">
        <f t="shared" si="15"/>
        <v>30.197558214519862</v>
      </c>
      <c r="BM45" s="11">
        <f t="shared" si="16"/>
        <v>29.197558214519866</v>
      </c>
    </row>
    <row r="46" spans="1:65" x14ac:dyDescent="0.3">
      <c r="A46" t="s">
        <v>49</v>
      </c>
      <c r="B46">
        <v>4.8388</v>
      </c>
      <c r="C46">
        <f t="shared" si="25"/>
        <v>4838800000</v>
      </c>
      <c r="D46">
        <v>1695295.1674095574</v>
      </c>
      <c r="E46">
        <f t="shared" si="26"/>
        <v>1368950847.6832175</v>
      </c>
      <c r="H46" s="8">
        <f t="shared" si="27"/>
        <v>2.5346776753811717</v>
      </c>
      <c r="Y46" s="10">
        <v>6.8773999999999997</v>
      </c>
      <c r="Z46" s="11">
        <f t="shared" si="5"/>
        <v>6877400000</v>
      </c>
      <c r="AA46">
        <v>2416496.675469954</v>
      </c>
      <c r="AB46" s="11">
        <f t="shared" si="6"/>
        <v>1951321065.441988</v>
      </c>
      <c r="AD46" s="8">
        <f t="shared" si="7"/>
        <v>2.5244840645648545</v>
      </c>
      <c r="AE46" s="8">
        <f t="shared" si="8"/>
        <v>3.5244840645648545</v>
      </c>
      <c r="AT46">
        <v>5.6017000000000001</v>
      </c>
      <c r="AU46" s="11">
        <f t="shared" si="9"/>
        <v>5601700000</v>
      </c>
      <c r="AV46">
        <v>1695295.1674095574</v>
      </c>
      <c r="AW46" s="11">
        <f t="shared" si="10"/>
        <v>1368950847.6832175</v>
      </c>
      <c r="AY46" s="11">
        <f t="shared" si="11"/>
        <v>3.0919657630368502</v>
      </c>
      <c r="AZ46" s="11">
        <f t="shared" si="12"/>
        <v>4.0919657630368498</v>
      </c>
      <c r="BG46">
        <v>4.1338999999999997</v>
      </c>
      <c r="BH46" s="11">
        <f t="shared" si="13"/>
        <v>41339000000</v>
      </c>
      <c r="BI46">
        <v>1695295.1674095574</v>
      </c>
      <c r="BJ46" s="11">
        <f t="shared" si="14"/>
        <v>1368950847.6832175</v>
      </c>
      <c r="BL46" s="11">
        <f t="shared" si="15"/>
        <v>30.197577999211017</v>
      </c>
      <c r="BM46" s="11">
        <f t="shared" si="16"/>
        <v>29.197577999211013</v>
      </c>
    </row>
    <row r="47" spans="1:65" x14ac:dyDescent="0.3">
      <c r="A47" t="s">
        <v>50</v>
      </c>
      <c r="B47">
        <v>5.0427999999999997</v>
      </c>
      <c r="C47">
        <f t="shared" si="25"/>
        <v>5042800000</v>
      </c>
      <c r="D47">
        <v>1766749.232578706</v>
      </c>
      <c r="E47">
        <f t="shared" si="26"/>
        <v>1426650005.3073051</v>
      </c>
      <c r="H47" s="8">
        <f t="shared" si="27"/>
        <v>2.5347141774367876</v>
      </c>
      <c r="Y47" s="10">
        <v>7.1673</v>
      </c>
      <c r="Z47" s="11">
        <f t="shared" si="5"/>
        <v>7167300000</v>
      </c>
      <c r="AA47">
        <v>2518348.2670095572</v>
      </c>
      <c r="AB47" s="11">
        <f t="shared" si="6"/>
        <v>2033566225.6102176</v>
      </c>
      <c r="AD47" s="8">
        <f t="shared" si="7"/>
        <v>2.5244979532689125</v>
      </c>
      <c r="AE47" s="8">
        <f t="shared" si="8"/>
        <v>3.5244979532689129</v>
      </c>
      <c r="AT47">
        <v>5.8377999999999997</v>
      </c>
      <c r="AU47" s="11">
        <f t="shared" si="9"/>
        <v>5837800000</v>
      </c>
      <c r="AV47">
        <v>1766749.232578706</v>
      </c>
      <c r="AW47" s="11">
        <f t="shared" si="10"/>
        <v>1426650005.3073051</v>
      </c>
      <c r="AY47" s="11">
        <f t="shared" si="11"/>
        <v>3.0919636759420319</v>
      </c>
      <c r="AZ47" s="11">
        <f t="shared" si="12"/>
        <v>4.0919636759420319</v>
      </c>
      <c r="BG47">
        <v>4.3082000000000003</v>
      </c>
      <c r="BH47" s="11">
        <f t="shared" si="13"/>
        <v>43082000000</v>
      </c>
      <c r="BI47">
        <v>1766749.232578706</v>
      </c>
      <c r="BJ47" s="11">
        <f t="shared" si="14"/>
        <v>1426650005.3073051</v>
      </c>
      <c r="BL47" s="11">
        <f t="shared" si="15"/>
        <v>30.198016219626339</v>
      </c>
      <c r="BM47" s="11">
        <f t="shared" si="16"/>
        <v>29.198016219626339</v>
      </c>
    </row>
    <row r="48" spans="1:65" x14ac:dyDescent="0.3">
      <c r="A48" t="s">
        <v>51</v>
      </c>
      <c r="B48">
        <v>4.5456000000000003</v>
      </c>
      <c r="C48">
        <f t="shared" si="25"/>
        <v>4545600000</v>
      </c>
      <c r="D48">
        <v>1592573.6044155946</v>
      </c>
      <c r="E48">
        <f t="shared" si="26"/>
        <v>1286003185.5655925</v>
      </c>
      <c r="H48" s="8">
        <f t="shared" si="27"/>
        <v>2.5346724261812894</v>
      </c>
      <c r="Y48" s="10">
        <v>6.4607000000000001</v>
      </c>
      <c r="Z48" s="11">
        <f t="shared" si="5"/>
        <v>6460700000</v>
      </c>
      <c r="AA48">
        <v>2270075.9693617178</v>
      </c>
      <c r="AB48" s="11">
        <f t="shared" si="6"/>
        <v>1833086345.259587</v>
      </c>
      <c r="AD48" s="8">
        <f t="shared" si="7"/>
        <v>2.5244930042207514</v>
      </c>
      <c r="AE48" s="8">
        <f t="shared" si="8"/>
        <v>3.5244930042207518</v>
      </c>
      <c r="AT48">
        <v>5.2622</v>
      </c>
      <c r="AU48" s="11">
        <f t="shared" si="9"/>
        <v>5262200000</v>
      </c>
      <c r="AV48">
        <v>1592573.6044155946</v>
      </c>
      <c r="AW48" s="11">
        <f t="shared" si="10"/>
        <v>1286003185.5655925</v>
      </c>
      <c r="AY48" s="11">
        <f t="shared" si="11"/>
        <v>3.0919027721425514</v>
      </c>
      <c r="AZ48" s="11">
        <f t="shared" si="12"/>
        <v>4.0919027721425518</v>
      </c>
      <c r="BG48">
        <v>3.8834</v>
      </c>
      <c r="BH48" s="11">
        <f t="shared" si="13"/>
        <v>38834000000</v>
      </c>
      <c r="BI48">
        <v>1592573.6044155946</v>
      </c>
      <c r="BJ48" s="11">
        <f t="shared" si="14"/>
        <v>1286003185.5655925</v>
      </c>
      <c r="BL48" s="11">
        <f t="shared" si="15"/>
        <v>30.197436861651749</v>
      </c>
      <c r="BM48" s="11">
        <f t="shared" si="16"/>
        <v>29.197436861651752</v>
      </c>
    </row>
    <row r="49" spans="1:65" x14ac:dyDescent="0.3">
      <c r="A49" t="s">
        <v>52</v>
      </c>
      <c r="B49">
        <v>4.3169000000000004</v>
      </c>
      <c r="C49">
        <f t="shared" si="25"/>
        <v>4316900000</v>
      </c>
      <c r="D49">
        <v>1512447.5118516025</v>
      </c>
      <c r="E49">
        <f t="shared" si="26"/>
        <v>1221301365.820169</v>
      </c>
      <c r="H49" s="8">
        <f t="shared" si="27"/>
        <v>2.5346722118016887</v>
      </c>
      <c r="Y49" s="10">
        <v>6.1356000000000002</v>
      </c>
      <c r="Z49" s="11">
        <f t="shared" si="5"/>
        <v>6135600000</v>
      </c>
      <c r="AA49">
        <v>2155863.1526077203</v>
      </c>
      <c r="AB49" s="11">
        <f t="shared" si="6"/>
        <v>1740859495.7307341</v>
      </c>
      <c r="AD49" s="8">
        <f t="shared" si="7"/>
        <v>2.5244659405580303</v>
      </c>
      <c r="AE49" s="8">
        <f t="shared" si="8"/>
        <v>3.5244659405580303</v>
      </c>
      <c r="AT49">
        <v>4.9974999999999996</v>
      </c>
      <c r="AU49" s="11">
        <f t="shared" si="9"/>
        <v>4997500000</v>
      </c>
      <c r="AV49">
        <v>1512447.5118516025</v>
      </c>
      <c r="AW49" s="11">
        <f t="shared" si="10"/>
        <v>1221301365.820169</v>
      </c>
      <c r="AY49" s="11">
        <f t="shared" si="11"/>
        <v>3.0919466233822743</v>
      </c>
      <c r="AZ49" s="11">
        <f t="shared" si="12"/>
        <v>4.0919466233822739</v>
      </c>
      <c r="BG49">
        <v>3.6880000000000002</v>
      </c>
      <c r="BH49" s="11">
        <f t="shared" si="13"/>
        <v>36880000000</v>
      </c>
      <c r="BI49">
        <v>1512447.5118516025</v>
      </c>
      <c r="BJ49" s="11">
        <f t="shared" si="14"/>
        <v>1221301365.820169</v>
      </c>
      <c r="BL49" s="11">
        <f t="shared" si="15"/>
        <v>30.197296942538923</v>
      </c>
      <c r="BM49" s="11">
        <f t="shared" si="16"/>
        <v>29.197296942538923</v>
      </c>
    </row>
    <row r="50" spans="1:65" x14ac:dyDescent="0.3">
      <c r="A50" t="s">
        <v>53</v>
      </c>
      <c r="B50">
        <v>3.9138000000000002</v>
      </c>
      <c r="C50">
        <f t="shared" si="25"/>
        <v>3913800000</v>
      </c>
      <c r="D50">
        <v>1371189.336443428</v>
      </c>
      <c r="E50">
        <f t="shared" si="26"/>
        <v>1107235389.1780682</v>
      </c>
      <c r="H50" s="8">
        <f t="shared" si="27"/>
        <v>2.5347497363729707</v>
      </c>
      <c r="Y50" s="10">
        <v>5.5625999999999998</v>
      </c>
      <c r="Z50" s="11">
        <f t="shared" si="5"/>
        <v>5562600000</v>
      </c>
      <c r="AA50">
        <v>1954511.8376161284</v>
      </c>
      <c r="AB50" s="11">
        <f t="shared" si="6"/>
        <v>1578268308.8750236</v>
      </c>
      <c r="AD50" s="8">
        <f t="shared" si="7"/>
        <v>2.5244957835876298</v>
      </c>
      <c r="AE50" s="8">
        <f t="shared" si="8"/>
        <v>3.5244957835876298</v>
      </c>
      <c r="AT50">
        <v>4.5307000000000004</v>
      </c>
      <c r="AU50" s="11">
        <f t="shared" si="9"/>
        <v>4530700000</v>
      </c>
      <c r="AV50">
        <v>1371189.336443428</v>
      </c>
      <c r="AW50" s="11">
        <f t="shared" si="10"/>
        <v>1107235389.1780682</v>
      </c>
      <c r="AY50" s="11">
        <f t="shared" si="11"/>
        <v>3.0919031709808928</v>
      </c>
      <c r="AZ50" s="11">
        <f t="shared" si="12"/>
        <v>4.0919031709808928</v>
      </c>
      <c r="BG50">
        <v>3.3435999999999999</v>
      </c>
      <c r="BH50" s="11">
        <f t="shared" si="13"/>
        <v>33436000000</v>
      </c>
      <c r="BI50">
        <v>1371189.336443428</v>
      </c>
      <c r="BJ50" s="11">
        <f t="shared" si="14"/>
        <v>1107235389.1780682</v>
      </c>
      <c r="BL50" s="11">
        <f t="shared" si="15"/>
        <v>30.197734218755851</v>
      </c>
      <c r="BM50" s="11">
        <f t="shared" si="16"/>
        <v>29.197734218755848</v>
      </c>
    </row>
    <row r="51" spans="1:65" s="1" customFormat="1" x14ac:dyDescent="0.3">
      <c r="A51" s="1" t="s">
        <v>54</v>
      </c>
      <c r="B51" s="1">
        <v>4.5838999999999999</v>
      </c>
      <c r="C51" s="1">
        <f t="shared" si="25"/>
        <v>4583900000</v>
      </c>
      <c r="D51" s="1">
        <v>1605979.3263408209</v>
      </c>
      <c r="E51" s="1">
        <f t="shared" si="26"/>
        <v>1296828306.0202129</v>
      </c>
      <c r="H51" s="13">
        <f t="shared" si="27"/>
        <v>2.5347007608642937</v>
      </c>
      <c r="Y51" s="15">
        <v>6.5151000000000003</v>
      </c>
      <c r="Z51" s="14">
        <f t="shared" si="5"/>
        <v>6515100000</v>
      </c>
      <c r="AA51" s="1">
        <v>2289184.6668247581</v>
      </c>
      <c r="AB51" s="14">
        <f t="shared" si="6"/>
        <v>1848516618.4609921</v>
      </c>
      <c r="AD51" s="13">
        <f t="shared" si="7"/>
        <v>2.5245017193430677</v>
      </c>
      <c r="AE51" s="13">
        <f t="shared" si="8"/>
        <v>3.5245017193430677</v>
      </c>
      <c r="AT51" s="1">
        <v>5.3064999999999998</v>
      </c>
      <c r="AU51" s="14">
        <f t="shared" si="9"/>
        <v>5306500000</v>
      </c>
      <c r="AV51" s="1">
        <v>1605979.3263408209</v>
      </c>
      <c r="AW51" s="14">
        <f t="shared" si="10"/>
        <v>1296828306.0202129</v>
      </c>
      <c r="AY51" s="14">
        <f t="shared" si="11"/>
        <v>3.0919063652187821</v>
      </c>
      <c r="AZ51" s="14">
        <f t="shared" si="12"/>
        <v>4.0919063652187821</v>
      </c>
      <c r="BG51" s="1">
        <v>3.9161000000000001</v>
      </c>
      <c r="BH51" s="14">
        <f t="shared" si="13"/>
        <v>39161000000</v>
      </c>
      <c r="BI51" s="1">
        <v>1605979.3263408209</v>
      </c>
      <c r="BJ51" s="14">
        <f t="shared" si="14"/>
        <v>1296828306.0202129</v>
      </c>
      <c r="BL51" s="14">
        <f t="shared" si="15"/>
        <v>30.197520996576412</v>
      </c>
      <c r="BM51" s="14">
        <f t="shared" si="16"/>
        <v>29.197520996576415</v>
      </c>
    </row>
    <row r="52" spans="1:65" x14ac:dyDescent="0.3">
      <c r="A52" t="s">
        <v>43</v>
      </c>
      <c r="B52">
        <v>3.9302000000000001</v>
      </c>
      <c r="C52">
        <f t="shared" si="25"/>
        <v>3930200000</v>
      </c>
      <c r="D52">
        <v>1376635.0187551307</v>
      </c>
      <c r="E52">
        <f t="shared" si="26"/>
        <v>1111632777.644768</v>
      </c>
      <c r="H52" s="8">
        <f t="shared" si="27"/>
        <v>2.5355200737486081</v>
      </c>
      <c r="Y52" s="10">
        <v>5.6208</v>
      </c>
      <c r="Z52" s="11">
        <f t="shared" si="5"/>
        <v>5620800000</v>
      </c>
      <c r="AA52">
        <v>1974256.5739558877</v>
      </c>
      <c r="AB52" s="11">
        <f t="shared" si="6"/>
        <v>1594212183.4693794</v>
      </c>
      <c r="AD52" s="8">
        <f t="shared" si="7"/>
        <v>2.5257540108417822</v>
      </c>
      <c r="AE52" s="8">
        <f t="shared" si="8"/>
        <v>3.5257540108417822</v>
      </c>
      <c r="AT52">
        <v>4.5358999999999998</v>
      </c>
      <c r="AU52" s="11">
        <f t="shared" si="9"/>
        <v>4535900000</v>
      </c>
      <c r="AV52">
        <v>1376635.0187551307</v>
      </c>
      <c r="AW52" s="11">
        <f t="shared" si="10"/>
        <v>1111632777.644768</v>
      </c>
      <c r="AY52" s="11">
        <f t="shared" si="11"/>
        <v>3.0803942553855559</v>
      </c>
      <c r="AZ52" s="11">
        <f t="shared" si="12"/>
        <v>4.0803942553855554</v>
      </c>
      <c r="BG52">
        <v>3.3879000000000001</v>
      </c>
      <c r="BH52" s="11">
        <f t="shared" si="13"/>
        <v>33879000000</v>
      </c>
      <c r="BI52">
        <v>1376635.0187551307</v>
      </c>
      <c r="BJ52" s="11">
        <f t="shared" si="14"/>
        <v>1111632777.644768</v>
      </c>
      <c r="BL52" s="11">
        <f t="shared" si="15"/>
        <v>30.476791150203319</v>
      </c>
      <c r="BM52" s="11">
        <f t="shared" si="16"/>
        <v>29.476791150203319</v>
      </c>
    </row>
    <row r="53" spans="1:65" x14ac:dyDescent="0.3">
      <c r="A53" t="s">
        <v>44</v>
      </c>
      <c r="B53">
        <v>3.5552999999999999</v>
      </c>
      <c r="C53">
        <f t="shared" si="25"/>
        <v>3555300000</v>
      </c>
      <c r="D53">
        <v>1245325.9389117719</v>
      </c>
      <c r="E53">
        <f t="shared" si="26"/>
        <v>1005600695.6712558</v>
      </c>
      <c r="H53" s="8">
        <f t="shared" si="27"/>
        <v>2.535498747469318</v>
      </c>
      <c r="Y53" s="10">
        <v>5.0846999999999998</v>
      </c>
      <c r="Z53" s="11">
        <f t="shared" si="5"/>
        <v>5084700000</v>
      </c>
      <c r="AA53">
        <v>1785943.9053334706</v>
      </c>
      <c r="AB53" s="11">
        <f t="shared" si="6"/>
        <v>1442149703.5567775</v>
      </c>
      <c r="AD53" s="8">
        <f t="shared" si="7"/>
        <v>2.5257782097514507</v>
      </c>
      <c r="AE53" s="8">
        <f t="shared" si="8"/>
        <v>3.5257782097514507</v>
      </c>
      <c r="AT53">
        <v>4.1032999999999999</v>
      </c>
      <c r="AU53" s="11">
        <f t="shared" si="9"/>
        <v>4103300000</v>
      </c>
      <c r="AV53">
        <v>1245325.9389117719</v>
      </c>
      <c r="AW53" s="11">
        <f t="shared" si="10"/>
        <v>1005600695.6712558</v>
      </c>
      <c r="AY53" s="11">
        <f t="shared" si="11"/>
        <v>3.0804466600542435</v>
      </c>
      <c r="AZ53" s="11">
        <f t="shared" si="12"/>
        <v>4.0804466600542435</v>
      </c>
      <c r="BG53">
        <v>3.0647000000000002</v>
      </c>
      <c r="BH53" s="11">
        <f t="shared" si="13"/>
        <v>30647000000.000004</v>
      </c>
      <c r="BI53">
        <v>1245325.9389117719</v>
      </c>
      <c r="BJ53" s="11">
        <f t="shared" si="14"/>
        <v>1005600695.6712558</v>
      </c>
      <c r="BL53" s="11">
        <f t="shared" si="15"/>
        <v>30.476311454361717</v>
      </c>
      <c r="BM53" s="11">
        <f t="shared" si="16"/>
        <v>29.476311454361714</v>
      </c>
    </row>
    <row r="54" spans="1:65" x14ac:dyDescent="0.3">
      <c r="A54" t="s">
        <v>45</v>
      </c>
      <c r="B54">
        <v>4.0514999999999999</v>
      </c>
      <c r="C54">
        <f t="shared" si="25"/>
        <v>4051500000</v>
      </c>
      <c r="D54">
        <v>1419131.0207194074</v>
      </c>
      <c r="E54">
        <f t="shared" si="26"/>
        <v>1145948299.2309215</v>
      </c>
      <c r="H54" s="8">
        <f t="shared" si="27"/>
        <v>2.5354998150606591</v>
      </c>
      <c r="Y54" s="10">
        <v>5.7944000000000004</v>
      </c>
      <c r="Z54" s="11">
        <f t="shared" si="5"/>
        <v>5794400000</v>
      </c>
      <c r="AA54">
        <v>2035200.8403023032</v>
      </c>
      <c r="AB54" s="11">
        <f t="shared" si="6"/>
        <v>1643424678.5441098</v>
      </c>
      <c r="AD54" s="8">
        <f t="shared" si="7"/>
        <v>2.5258080736217186</v>
      </c>
      <c r="AE54" s="8">
        <f t="shared" si="8"/>
        <v>3.5258080736217186</v>
      </c>
      <c r="AT54">
        <v>4.6760000000000002</v>
      </c>
      <c r="AU54" s="11">
        <f t="shared" si="9"/>
        <v>4676000000</v>
      </c>
      <c r="AV54">
        <v>1419131.0207194074</v>
      </c>
      <c r="AW54" s="11">
        <f t="shared" si="10"/>
        <v>1145948299.2309215</v>
      </c>
      <c r="AY54" s="11">
        <f t="shared" si="11"/>
        <v>3.0804633185792034</v>
      </c>
      <c r="AZ54" s="11">
        <f t="shared" si="12"/>
        <v>4.0804633185792039</v>
      </c>
      <c r="BG54">
        <v>3.4925000000000002</v>
      </c>
      <c r="BH54" s="11">
        <f t="shared" si="13"/>
        <v>34925000000</v>
      </c>
      <c r="BI54">
        <v>1419131.0207194074</v>
      </c>
      <c r="BJ54" s="11">
        <f t="shared" si="14"/>
        <v>1145948299.2309215</v>
      </c>
      <c r="BL54" s="11">
        <f t="shared" si="15"/>
        <v>30.476942130320506</v>
      </c>
      <c r="BM54" s="11">
        <f t="shared" si="16"/>
        <v>29.476942130320502</v>
      </c>
    </row>
    <row r="55" spans="1:65" x14ac:dyDescent="0.3">
      <c r="A55" t="s">
        <v>46</v>
      </c>
      <c r="B55">
        <v>3.8256999999999999</v>
      </c>
      <c r="C55">
        <f t="shared" si="25"/>
        <v>3825700000</v>
      </c>
      <c r="D55">
        <v>1340048.576138872</v>
      </c>
      <c r="E55">
        <f t="shared" si="26"/>
        <v>1082089225.2321391</v>
      </c>
      <c r="H55" s="8">
        <f t="shared" si="27"/>
        <v>2.5354755511767322</v>
      </c>
      <c r="Y55" s="10">
        <v>5.4714</v>
      </c>
      <c r="Z55" s="11">
        <f t="shared" si="5"/>
        <v>5471400000</v>
      </c>
      <c r="AA55">
        <v>1921787.3109568057</v>
      </c>
      <c r="AB55" s="11">
        <f t="shared" si="6"/>
        <v>1551843253.5976207</v>
      </c>
      <c r="AD55" s="8">
        <f t="shared" si="7"/>
        <v>2.525742685233006</v>
      </c>
      <c r="AE55" s="8">
        <f t="shared" si="8"/>
        <v>3.525742685233006</v>
      </c>
      <c r="AT55">
        <v>4.4154</v>
      </c>
      <c r="AU55" s="11">
        <f t="shared" si="9"/>
        <v>4415400000</v>
      </c>
      <c r="AV55">
        <v>1340048.576138872</v>
      </c>
      <c r="AW55" s="11">
        <f t="shared" si="10"/>
        <v>1082089225.2321391</v>
      </c>
      <c r="AY55" s="11">
        <f t="shared" si="11"/>
        <v>3.0804398537955779</v>
      </c>
      <c r="AZ55" s="11">
        <f t="shared" si="12"/>
        <v>4.0804398537955784</v>
      </c>
      <c r="BG55">
        <v>3.2978999999999998</v>
      </c>
      <c r="BH55" s="11">
        <f t="shared" si="13"/>
        <v>32979000000</v>
      </c>
      <c r="BI55">
        <v>1340048.576138872</v>
      </c>
      <c r="BJ55" s="11">
        <f t="shared" si="14"/>
        <v>1082089225.2321391</v>
      </c>
      <c r="BL55" s="11">
        <f t="shared" si="15"/>
        <v>30.477154037759743</v>
      </c>
      <c r="BM55" s="11">
        <f t="shared" si="16"/>
        <v>29.477154037759743</v>
      </c>
    </row>
    <row r="56" spans="1:65" x14ac:dyDescent="0.3">
      <c r="A56" t="s">
        <v>47</v>
      </c>
      <c r="B56">
        <v>3.9428000000000001</v>
      </c>
      <c r="C56">
        <f t="shared" si="25"/>
        <v>3942800000</v>
      </c>
      <c r="D56">
        <v>1381048.7746755357</v>
      </c>
      <c r="E56">
        <f t="shared" si="26"/>
        <v>1115196885.5504951</v>
      </c>
      <c r="H56" s="8">
        <f t="shared" si="27"/>
        <v>2.5355191994225432</v>
      </c>
      <c r="Y56" s="10">
        <v>5.6388999999999996</v>
      </c>
      <c r="Z56" s="11">
        <f t="shared" si="5"/>
        <v>5638900000</v>
      </c>
      <c r="AA56">
        <v>1980586.4192111506</v>
      </c>
      <c r="AB56" s="11">
        <f t="shared" si="6"/>
        <v>1599323533.5130041</v>
      </c>
      <c r="AD56" s="8">
        <f t="shared" si="7"/>
        <v>2.5258031798068017</v>
      </c>
      <c r="AE56" s="8">
        <f t="shared" si="8"/>
        <v>3.5258031798068017</v>
      </c>
      <c r="AT56">
        <v>4.5505000000000004</v>
      </c>
      <c r="AU56" s="11">
        <f t="shared" si="9"/>
        <v>4550500000</v>
      </c>
      <c r="AV56">
        <v>1381048.7746755357</v>
      </c>
      <c r="AW56" s="11">
        <f t="shared" si="10"/>
        <v>1115196885.5504951</v>
      </c>
      <c r="AY56" s="11">
        <f t="shared" si="11"/>
        <v>3.0804453984407738</v>
      </c>
      <c r="AZ56" s="11">
        <f t="shared" si="12"/>
        <v>4.0804453984407738</v>
      </c>
      <c r="BG56">
        <v>3.3988</v>
      </c>
      <c r="BH56" s="11">
        <f t="shared" si="13"/>
        <v>33988000000</v>
      </c>
      <c r="BI56">
        <v>1381048.7746755357</v>
      </c>
      <c r="BJ56" s="11">
        <f t="shared" si="14"/>
        <v>1115196885.5504951</v>
      </c>
      <c r="BL56" s="11">
        <f t="shared" si="15"/>
        <v>30.477129590639493</v>
      </c>
      <c r="BM56" s="11">
        <f t="shared" si="16"/>
        <v>29.477129590639493</v>
      </c>
    </row>
    <row r="57" spans="1:65" x14ac:dyDescent="0.3">
      <c r="A57" t="s">
        <v>48</v>
      </c>
      <c r="B57">
        <v>4.3121999999999998</v>
      </c>
      <c r="C57">
        <f t="shared" si="25"/>
        <v>4312200000</v>
      </c>
      <c r="D57">
        <v>1510443.7640368729</v>
      </c>
      <c r="E57">
        <f t="shared" si="26"/>
        <v>1219683339.459775</v>
      </c>
      <c r="H57" s="8">
        <f t="shared" si="27"/>
        <v>2.5355078326395519</v>
      </c>
      <c r="Y57" s="10">
        <v>6.1672000000000002</v>
      </c>
      <c r="Z57" s="11">
        <f t="shared" si="5"/>
        <v>6167200000</v>
      </c>
      <c r="AA57">
        <v>2166154.0568952332</v>
      </c>
      <c r="AB57" s="11">
        <f t="shared" si="6"/>
        <v>1749169400.9429009</v>
      </c>
      <c r="AD57" s="8">
        <f t="shared" si="7"/>
        <v>2.5257877234049095</v>
      </c>
      <c r="AE57" s="8">
        <f t="shared" si="8"/>
        <v>3.5257877234049095</v>
      </c>
      <c r="AT57">
        <v>4.9768999999999997</v>
      </c>
      <c r="AU57" s="11">
        <f t="shared" si="9"/>
        <v>4976900000</v>
      </c>
      <c r="AV57">
        <v>1510443.7640368729</v>
      </c>
      <c r="AW57" s="11">
        <f t="shared" si="10"/>
        <v>1219683339.459775</v>
      </c>
      <c r="AY57" s="11">
        <f t="shared" si="11"/>
        <v>3.0804853513899602</v>
      </c>
      <c r="AZ57" s="11">
        <f t="shared" si="12"/>
        <v>4.0804853513899602</v>
      </c>
      <c r="BG57">
        <v>3.7172000000000001</v>
      </c>
      <c r="BH57" s="11">
        <f t="shared" si="13"/>
        <v>37172000000</v>
      </c>
      <c r="BI57">
        <v>1510443.7640368729</v>
      </c>
      <c r="BJ57" s="11">
        <f t="shared" si="14"/>
        <v>1219683339.459775</v>
      </c>
      <c r="BL57" s="11">
        <f t="shared" si="15"/>
        <v>30.476762941161688</v>
      </c>
      <c r="BM57" s="11">
        <f t="shared" si="16"/>
        <v>29.476762941161684</v>
      </c>
    </row>
    <row r="58" spans="1:65" x14ac:dyDescent="0.3">
      <c r="A58" t="s">
        <v>49</v>
      </c>
      <c r="B58">
        <v>4.9490999999999996</v>
      </c>
      <c r="C58">
        <f t="shared" si="25"/>
        <v>4949100000</v>
      </c>
      <c r="D58">
        <v>1733534.908027818</v>
      </c>
      <c r="E58">
        <f t="shared" si="26"/>
        <v>1399829438.2324631</v>
      </c>
      <c r="H58" s="8">
        <f t="shared" si="27"/>
        <v>2.535502158212311</v>
      </c>
      <c r="Y58" s="10">
        <v>7.0781000000000001</v>
      </c>
      <c r="Z58" s="11">
        <f t="shared" si="5"/>
        <v>7078100000</v>
      </c>
      <c r="AA58">
        <v>2486093.0033951886</v>
      </c>
      <c r="AB58" s="11">
        <f t="shared" si="6"/>
        <v>2007520100.2416148</v>
      </c>
      <c r="AD58" s="8">
        <f t="shared" si="7"/>
        <v>2.525792842197752</v>
      </c>
      <c r="AE58" s="8">
        <f t="shared" si="8"/>
        <v>3.5257928421977525</v>
      </c>
      <c r="AT58">
        <v>5.7119</v>
      </c>
      <c r="AU58" s="11">
        <f t="shared" si="9"/>
        <v>5711900000</v>
      </c>
      <c r="AV58">
        <v>1733534.908027818</v>
      </c>
      <c r="AW58" s="11">
        <f t="shared" si="10"/>
        <v>1399829438.2324631</v>
      </c>
      <c r="AY58" s="11">
        <f t="shared" si="11"/>
        <v>3.0804256890127295</v>
      </c>
      <c r="AZ58" s="11">
        <f t="shared" si="12"/>
        <v>4.0804256890127295</v>
      </c>
      <c r="BG58">
        <v>4.2663000000000002</v>
      </c>
      <c r="BH58" s="11">
        <f t="shared" si="13"/>
        <v>42663000000</v>
      </c>
      <c r="BI58">
        <v>1733534.908027818</v>
      </c>
      <c r="BJ58" s="11">
        <f t="shared" si="14"/>
        <v>1399829438.2324631</v>
      </c>
      <c r="BL58" s="11">
        <f t="shared" si="15"/>
        <v>30.477284471077937</v>
      </c>
      <c r="BM58" s="11">
        <f t="shared" si="16"/>
        <v>29.47728447107794</v>
      </c>
    </row>
    <row r="59" spans="1:65" x14ac:dyDescent="0.3">
      <c r="A59" t="s">
        <v>50</v>
      </c>
      <c r="B59">
        <v>5.1577000000000002</v>
      </c>
      <c r="C59">
        <f t="shared" si="25"/>
        <v>5157700000</v>
      </c>
      <c r="D59">
        <v>1806600.7190278496</v>
      </c>
      <c r="E59">
        <f t="shared" si="26"/>
        <v>1458830080.6149886</v>
      </c>
      <c r="H59" s="8">
        <f t="shared" si="27"/>
        <v>2.5355042842451572</v>
      </c>
      <c r="Y59" s="10">
        <v>7.3764000000000003</v>
      </c>
      <c r="Z59" s="11">
        <f t="shared" si="5"/>
        <v>7376400000</v>
      </c>
      <c r="AA59">
        <v>2590877.9723469988</v>
      </c>
      <c r="AB59" s="11">
        <f t="shared" si="6"/>
        <v>2092133962.6702015</v>
      </c>
      <c r="AD59" s="8">
        <f t="shared" si="7"/>
        <v>2.5257780484503307</v>
      </c>
      <c r="AE59" s="8">
        <f t="shared" si="8"/>
        <v>3.5257780484503307</v>
      </c>
      <c r="AT59">
        <v>5.9527000000000001</v>
      </c>
      <c r="AU59" s="11">
        <f t="shared" si="9"/>
        <v>5952700000</v>
      </c>
      <c r="AV59">
        <v>1806600.7190278496</v>
      </c>
      <c r="AW59" s="11">
        <f t="shared" si="10"/>
        <v>1458830080.6149886</v>
      </c>
      <c r="AY59" s="11">
        <f t="shared" si="11"/>
        <v>3.0804615144010215</v>
      </c>
      <c r="AZ59" s="11">
        <f t="shared" si="12"/>
        <v>4.080461514401021</v>
      </c>
      <c r="BG59">
        <v>4.4461000000000004</v>
      </c>
      <c r="BH59" s="11">
        <f t="shared" si="13"/>
        <v>44461000000.000008</v>
      </c>
      <c r="BI59">
        <v>1806600.7190278496</v>
      </c>
      <c r="BJ59" s="11">
        <f t="shared" si="14"/>
        <v>1458830080.6149886</v>
      </c>
      <c r="BL59" s="11">
        <f t="shared" si="15"/>
        <v>30.477161521962106</v>
      </c>
      <c r="BM59" s="11">
        <f t="shared" si="16"/>
        <v>29.477161521962106</v>
      </c>
    </row>
    <row r="60" spans="1:65" x14ac:dyDescent="0.3">
      <c r="A60" t="s">
        <v>51</v>
      </c>
      <c r="B60">
        <v>4.6492000000000004</v>
      </c>
      <c r="C60">
        <f t="shared" si="25"/>
        <v>4649200000</v>
      </c>
      <c r="D60">
        <v>1628496.3172971494</v>
      </c>
      <c r="E60">
        <f t="shared" si="26"/>
        <v>1315010776.2174482</v>
      </c>
      <c r="H60" s="8">
        <f t="shared" si="27"/>
        <v>2.5354843352486833</v>
      </c>
      <c r="Y60" s="10">
        <v>6.6492000000000004</v>
      </c>
      <c r="Z60" s="11">
        <f t="shared" si="5"/>
        <v>6649200000</v>
      </c>
      <c r="AA60">
        <v>2335455.3068061471</v>
      </c>
      <c r="AB60" s="11">
        <f t="shared" si="6"/>
        <v>1885880160.2459638</v>
      </c>
      <c r="AD60" s="8">
        <f t="shared" si="7"/>
        <v>2.5257807681336364</v>
      </c>
      <c r="AE60" s="8">
        <f t="shared" si="8"/>
        <v>3.5257807681336368</v>
      </c>
      <c r="AT60">
        <v>5.3658000000000001</v>
      </c>
      <c r="AU60" s="11">
        <f t="shared" si="9"/>
        <v>5365800000</v>
      </c>
      <c r="AV60">
        <v>1628496.3172971494</v>
      </c>
      <c r="AW60" s="11">
        <f t="shared" si="10"/>
        <v>1315010776.2174482</v>
      </c>
      <c r="AY60" s="11">
        <f t="shared" si="11"/>
        <v>3.0804228353431524</v>
      </c>
      <c r="AZ60" s="11">
        <f t="shared" si="12"/>
        <v>4.0804228353431524</v>
      </c>
      <c r="BG60">
        <v>4.0077999999999996</v>
      </c>
      <c r="BH60" s="11">
        <f t="shared" si="13"/>
        <v>40077999999.999992</v>
      </c>
      <c r="BI60">
        <v>1628496.3172971494</v>
      </c>
      <c r="BJ60" s="11">
        <f t="shared" si="14"/>
        <v>1315010776.2174482</v>
      </c>
      <c r="BL60" s="11">
        <f t="shared" si="15"/>
        <v>30.477316783123268</v>
      </c>
      <c r="BM60" s="11">
        <f t="shared" si="16"/>
        <v>29.477316783123271</v>
      </c>
    </row>
    <row r="61" spans="1:65" x14ac:dyDescent="0.3">
      <c r="A61" t="s">
        <v>52</v>
      </c>
      <c r="B61">
        <v>4.4153000000000002</v>
      </c>
      <c r="C61">
        <f t="shared" si="25"/>
        <v>4415300000</v>
      </c>
      <c r="D61">
        <v>1546562.8692617891</v>
      </c>
      <c r="E61">
        <f t="shared" si="26"/>
        <v>1248849516.9288948</v>
      </c>
      <c r="H61" s="8">
        <f t="shared" si="27"/>
        <v>2.5354940208151531</v>
      </c>
      <c r="Y61" s="10">
        <v>6.3147000000000002</v>
      </c>
      <c r="Z61" s="11">
        <f t="shared" si="5"/>
        <v>6314700000</v>
      </c>
      <c r="AA61">
        <v>2217953.1030942597</v>
      </c>
      <c r="AB61" s="11">
        <f t="shared" si="6"/>
        <v>1790997130.7486148</v>
      </c>
      <c r="AD61" s="8">
        <f t="shared" si="7"/>
        <v>2.5258012933613871</v>
      </c>
      <c r="AE61" s="8">
        <f t="shared" si="8"/>
        <v>3.5258012933613876</v>
      </c>
      <c r="AT61">
        <v>5.0959000000000003</v>
      </c>
      <c r="AU61" s="11">
        <f t="shared" si="9"/>
        <v>5095900000</v>
      </c>
      <c r="AV61">
        <v>1546562.8692617891</v>
      </c>
      <c r="AW61" s="11">
        <f t="shared" si="10"/>
        <v>1248849516.9288948</v>
      </c>
      <c r="AY61" s="11">
        <f t="shared" si="11"/>
        <v>3.0804756144932255</v>
      </c>
      <c r="AZ61" s="11">
        <f t="shared" si="12"/>
        <v>4.0804756144932259</v>
      </c>
      <c r="BG61">
        <v>3.8060999999999998</v>
      </c>
      <c r="BH61" s="11">
        <f t="shared" si="13"/>
        <v>38061000000</v>
      </c>
      <c r="BI61">
        <v>1546562.8692617891</v>
      </c>
      <c r="BJ61" s="11">
        <f t="shared" si="14"/>
        <v>1248849516.9288948</v>
      </c>
      <c r="BL61" s="11">
        <f t="shared" si="15"/>
        <v>30.476850480430674</v>
      </c>
      <c r="BM61" s="11">
        <f t="shared" si="16"/>
        <v>29.476850480430674</v>
      </c>
    </row>
    <row r="62" spans="1:65" x14ac:dyDescent="0.3">
      <c r="A62" t="s">
        <v>53</v>
      </c>
      <c r="B62">
        <v>4.0030000000000001</v>
      </c>
      <c r="C62">
        <f t="shared" si="25"/>
        <v>4003000000</v>
      </c>
      <c r="D62">
        <v>1402118.4192203474</v>
      </c>
      <c r="E62">
        <f t="shared" si="26"/>
        <v>1132210623.5204306</v>
      </c>
      <c r="H62" s="8">
        <f t="shared" si="27"/>
        <v>2.5355612435019399</v>
      </c>
      <c r="Y62" s="10">
        <v>5.7248999999999999</v>
      </c>
      <c r="Z62" s="11">
        <f t="shared" si="5"/>
        <v>5724900000</v>
      </c>
      <c r="AA62">
        <v>2010802.7682701219</v>
      </c>
      <c r="AB62" s="11">
        <f t="shared" si="6"/>
        <v>1623723235.3781235</v>
      </c>
      <c r="AD62" s="8">
        <f t="shared" si="7"/>
        <v>2.5257855989643567</v>
      </c>
      <c r="AE62" s="8">
        <f t="shared" si="8"/>
        <v>3.5257855989643563</v>
      </c>
      <c r="AT62">
        <v>4.6199000000000003</v>
      </c>
      <c r="AU62" s="11">
        <f t="shared" si="9"/>
        <v>4619900000</v>
      </c>
      <c r="AV62">
        <v>1402118.4192203474</v>
      </c>
      <c r="AW62" s="11">
        <f t="shared" si="10"/>
        <v>1132210623.5204306</v>
      </c>
      <c r="AY62" s="11">
        <f t="shared" si="11"/>
        <v>3.0804245288170402</v>
      </c>
      <c r="AZ62" s="11">
        <f t="shared" si="12"/>
        <v>4.0804245288170398</v>
      </c>
      <c r="BG62">
        <v>3.4506999999999999</v>
      </c>
      <c r="BH62" s="11">
        <f t="shared" si="13"/>
        <v>34507000000</v>
      </c>
      <c r="BI62">
        <v>1402118.4192203474</v>
      </c>
      <c r="BJ62" s="11">
        <f t="shared" si="14"/>
        <v>1132210623.5204306</v>
      </c>
      <c r="BL62" s="11">
        <f t="shared" si="15"/>
        <v>30.477544798781274</v>
      </c>
      <c r="BM62" s="11">
        <f t="shared" si="16"/>
        <v>29.47754479878127</v>
      </c>
    </row>
    <row r="63" spans="1:65" s="1" customFormat="1" x14ac:dyDescent="0.3">
      <c r="A63" s="1" t="s">
        <v>54</v>
      </c>
      <c r="B63" s="1">
        <v>4.6883999999999997</v>
      </c>
      <c r="C63" s="1">
        <f t="shared" si="25"/>
        <v>4688400000</v>
      </c>
      <c r="D63" s="1">
        <v>1642204.4239274559</v>
      </c>
      <c r="E63" s="1">
        <f t="shared" si="26"/>
        <v>1326080072.3214207</v>
      </c>
      <c r="H63" s="13">
        <f t="shared" si="27"/>
        <v>2.5355331083382775</v>
      </c>
      <c r="Y63" s="15">
        <v>6.7051999999999996</v>
      </c>
      <c r="Z63" s="14">
        <f t="shared" si="5"/>
        <v>6705200000</v>
      </c>
      <c r="AA63" s="1">
        <v>2355114.3444324336</v>
      </c>
      <c r="AB63" s="14">
        <f t="shared" si="6"/>
        <v>1901754833.1291902</v>
      </c>
      <c r="AD63" s="13">
        <f t="shared" si="7"/>
        <v>2.5257962189411729</v>
      </c>
      <c r="AE63" s="13">
        <f t="shared" si="8"/>
        <v>3.5257962189411729</v>
      </c>
      <c r="AT63" s="1">
        <v>5.4109999999999996</v>
      </c>
      <c r="AU63" s="14">
        <f t="shared" si="9"/>
        <v>5411000000</v>
      </c>
      <c r="AV63" s="1">
        <v>1642204.4239274559</v>
      </c>
      <c r="AW63" s="14">
        <f t="shared" si="10"/>
        <v>1326080072.3214207</v>
      </c>
      <c r="AY63" s="14">
        <f t="shared" si="11"/>
        <v>3.0804474125967105</v>
      </c>
      <c r="AZ63" s="14">
        <f t="shared" si="12"/>
        <v>4.080447412596711</v>
      </c>
      <c r="BG63" s="1">
        <v>4.0415000000000001</v>
      </c>
      <c r="BH63" s="14">
        <f t="shared" si="13"/>
        <v>40415000000</v>
      </c>
      <c r="BI63" s="1">
        <v>1642204.4239274559</v>
      </c>
      <c r="BJ63" s="14">
        <f t="shared" si="14"/>
        <v>1326080072.3214207</v>
      </c>
      <c r="BL63" s="14">
        <f t="shared" si="15"/>
        <v>30.477043463333221</v>
      </c>
      <c r="BM63" s="14">
        <f t="shared" si="16"/>
        <v>29.477043463333224</v>
      </c>
    </row>
    <row r="64" spans="1:65" x14ac:dyDescent="0.3">
      <c r="A64" t="s">
        <v>43</v>
      </c>
      <c r="B64">
        <v>4.0176999999999996</v>
      </c>
      <c r="C64">
        <f t="shared" si="25"/>
        <v>4017699999.9999995</v>
      </c>
      <c r="D64">
        <v>1407001.9676982586</v>
      </c>
      <c r="E64">
        <f t="shared" si="26"/>
        <v>1136154088.9163437</v>
      </c>
      <c r="H64" s="8">
        <f t="shared" si="27"/>
        <v>2.5362280866603713</v>
      </c>
      <c r="Y64" s="10">
        <v>5.7801999999999998</v>
      </c>
      <c r="Z64" s="11">
        <f t="shared" si="5"/>
        <v>5780200000</v>
      </c>
      <c r="AA64">
        <v>2029524.4210323803</v>
      </c>
      <c r="AB64" s="11">
        <f t="shared" si="6"/>
        <v>1638840969.9836471</v>
      </c>
      <c r="AD64" s="8">
        <f t="shared" si="7"/>
        <v>2.5270048197889978</v>
      </c>
      <c r="AE64" s="8">
        <f t="shared" si="8"/>
        <v>3.5270048197889978</v>
      </c>
      <c r="AT64">
        <v>4.6234999999999999</v>
      </c>
      <c r="AU64" s="11">
        <f t="shared" si="9"/>
        <v>4623500000</v>
      </c>
      <c r="AV64">
        <v>1407001.9676982586</v>
      </c>
      <c r="AW64" s="11">
        <f t="shared" si="10"/>
        <v>1136154088.9163437</v>
      </c>
      <c r="AY64" s="11">
        <f t="shared" si="11"/>
        <v>3.0694304101038479</v>
      </c>
      <c r="AZ64" s="11">
        <f t="shared" si="12"/>
        <v>4.0694304101038474</v>
      </c>
      <c r="BG64">
        <v>3.4929999999999999</v>
      </c>
      <c r="BH64" s="11">
        <f t="shared" si="13"/>
        <v>34930000000</v>
      </c>
      <c r="BI64">
        <v>1407001.9676982586</v>
      </c>
      <c r="BJ64" s="11">
        <f t="shared" si="14"/>
        <v>1136154088.9163437</v>
      </c>
      <c r="BL64" s="11">
        <f t="shared" si="15"/>
        <v>30.744069260284935</v>
      </c>
      <c r="BM64" s="11">
        <f t="shared" si="16"/>
        <v>29.744069260284935</v>
      </c>
    </row>
    <row r="65" spans="1:65" x14ac:dyDescent="0.3">
      <c r="A65" t="s">
        <v>44</v>
      </c>
      <c r="B65">
        <v>3.6345000000000001</v>
      </c>
      <c r="C65">
        <f t="shared" si="25"/>
        <v>3634500000</v>
      </c>
      <c r="D65">
        <v>1272796.3640348257</v>
      </c>
      <c r="E65">
        <f t="shared" si="26"/>
        <v>1027783063.9581218</v>
      </c>
      <c r="H65" s="8">
        <f t="shared" si="27"/>
        <v>2.5362520822274339</v>
      </c>
      <c r="Y65" s="10">
        <v>5.2289000000000003</v>
      </c>
      <c r="Z65" s="11">
        <f t="shared" si="5"/>
        <v>5228900000</v>
      </c>
      <c r="AA65">
        <v>1835940.0790574285</v>
      </c>
      <c r="AB65" s="11">
        <f t="shared" si="6"/>
        <v>1482521613.8388736</v>
      </c>
      <c r="AD65" s="8">
        <f t="shared" si="7"/>
        <v>2.527031208981954</v>
      </c>
      <c r="AE65" s="8">
        <f t="shared" si="8"/>
        <v>3.527031208981954</v>
      </c>
      <c r="AT65">
        <v>4.1825000000000001</v>
      </c>
      <c r="AU65" s="11">
        <f t="shared" si="9"/>
        <v>4182500000</v>
      </c>
      <c r="AV65">
        <v>1272796.3640348257</v>
      </c>
      <c r="AW65" s="11">
        <f t="shared" si="10"/>
        <v>1027783063.9581218</v>
      </c>
      <c r="AY65" s="11">
        <f t="shared" si="11"/>
        <v>3.0694385290731168</v>
      </c>
      <c r="AZ65" s="11">
        <f t="shared" si="12"/>
        <v>4.0694385290731168</v>
      </c>
      <c r="BG65">
        <v>3.1598000000000002</v>
      </c>
      <c r="BH65" s="11">
        <f t="shared" si="13"/>
        <v>31598000000</v>
      </c>
      <c r="BI65">
        <v>1272796.3640348257</v>
      </c>
      <c r="BJ65" s="11">
        <f t="shared" si="14"/>
        <v>1027783063.9581218</v>
      </c>
      <c r="BL65" s="11">
        <f t="shared" si="15"/>
        <v>30.743841874872047</v>
      </c>
      <c r="BM65" s="11">
        <f t="shared" si="16"/>
        <v>29.743841874872047</v>
      </c>
    </row>
    <row r="66" spans="1:65" x14ac:dyDescent="0.3">
      <c r="A66" t="s">
        <v>45</v>
      </c>
      <c r="B66">
        <v>4.1417999999999999</v>
      </c>
      <c r="C66">
        <f t="shared" si="25"/>
        <v>4141800000</v>
      </c>
      <c r="D66">
        <v>1450435.3814705708</v>
      </c>
      <c r="E66">
        <f t="shared" si="26"/>
        <v>1171226570.5374858</v>
      </c>
      <c r="H66" s="8">
        <f t="shared" si="27"/>
        <v>2.5362927243866169</v>
      </c>
      <c r="Y66" s="10">
        <v>5.9587000000000003</v>
      </c>
      <c r="Z66" s="11">
        <f t="shared" si="5"/>
        <v>5958700000</v>
      </c>
      <c r="AA66">
        <v>2092174.7768694207</v>
      </c>
      <c r="AB66" s="11">
        <f t="shared" si="6"/>
        <v>1689431132.3220572</v>
      </c>
      <c r="AD66" s="8">
        <f t="shared" si="7"/>
        <v>2.5270452201327669</v>
      </c>
      <c r="AE66" s="8">
        <f t="shared" si="8"/>
        <v>3.5270452201327669</v>
      </c>
      <c r="AT66">
        <v>4.7663000000000002</v>
      </c>
      <c r="AU66" s="11">
        <f t="shared" si="9"/>
        <v>4766300000</v>
      </c>
      <c r="AV66">
        <v>1450435.3814705708</v>
      </c>
      <c r="AW66" s="11">
        <f t="shared" si="10"/>
        <v>1171226570.5374858</v>
      </c>
      <c r="AY66" s="11">
        <f t="shared" si="11"/>
        <v>3.069494425670948</v>
      </c>
      <c r="AZ66" s="11">
        <f t="shared" si="12"/>
        <v>4.069494425670948</v>
      </c>
      <c r="BG66">
        <v>3.6008</v>
      </c>
      <c r="BH66" s="11">
        <f t="shared" si="13"/>
        <v>36008000000</v>
      </c>
      <c r="BI66">
        <v>1450435.3814705708</v>
      </c>
      <c r="BJ66" s="11">
        <f t="shared" si="14"/>
        <v>1171226570.5374858</v>
      </c>
      <c r="BL66" s="11">
        <f t="shared" si="15"/>
        <v>30.743838046190859</v>
      </c>
      <c r="BM66" s="11">
        <f t="shared" si="16"/>
        <v>29.743838046190863</v>
      </c>
    </row>
    <row r="67" spans="1:65" x14ac:dyDescent="0.3">
      <c r="A67" t="s">
        <v>46</v>
      </c>
      <c r="B67">
        <v>3.911</v>
      </c>
      <c r="C67">
        <f t="shared" si="25"/>
        <v>3911000000</v>
      </c>
      <c r="D67">
        <v>1369608.4712007588</v>
      </c>
      <c r="E67">
        <f t="shared" si="26"/>
        <v>1105958840.4946127</v>
      </c>
      <c r="H67" s="8">
        <f t="shared" si="27"/>
        <v>2.5362979676991433</v>
      </c>
      <c r="Y67" s="10">
        <v>5.6265999999999998</v>
      </c>
      <c r="Z67" s="11">
        <f t="shared" si="5"/>
        <v>5626600000</v>
      </c>
      <c r="AA67">
        <v>1975586.3199694399</v>
      </c>
      <c r="AB67" s="11">
        <f t="shared" si="6"/>
        <v>1595285953.3753228</v>
      </c>
      <c r="AD67" s="8">
        <f t="shared" si="7"/>
        <v>2.5270165753639215</v>
      </c>
      <c r="AE67" s="8">
        <f t="shared" si="8"/>
        <v>3.5270165753639215</v>
      </c>
      <c r="AT67">
        <v>4.5006000000000004</v>
      </c>
      <c r="AU67" s="11">
        <f t="shared" si="9"/>
        <v>4500600000</v>
      </c>
      <c r="AV67">
        <v>1369608.4712007588</v>
      </c>
      <c r="AW67" s="11">
        <f t="shared" si="10"/>
        <v>1105958840.4946127</v>
      </c>
      <c r="AY67" s="11">
        <f t="shared" si="11"/>
        <v>3.0694100315588764</v>
      </c>
      <c r="AZ67" s="11">
        <f t="shared" si="12"/>
        <v>4.0694100315588759</v>
      </c>
      <c r="BG67">
        <v>3.4001999999999999</v>
      </c>
      <c r="BH67" s="11">
        <f t="shared" si="13"/>
        <v>34002000000</v>
      </c>
      <c r="BI67">
        <v>1369608.4712007588</v>
      </c>
      <c r="BJ67" s="11">
        <f t="shared" si="14"/>
        <v>1105958840.4946127</v>
      </c>
      <c r="BL67" s="11">
        <f t="shared" si="15"/>
        <v>30.744362950065526</v>
      </c>
      <c r="BM67" s="11">
        <f t="shared" si="16"/>
        <v>29.744362950065526</v>
      </c>
    </row>
    <row r="68" spans="1:65" x14ac:dyDescent="0.3">
      <c r="A68" t="s">
        <v>47</v>
      </c>
      <c r="B68">
        <v>4.0305999999999997</v>
      </c>
      <c r="C68">
        <f t="shared" ref="C68:C99" si="28">B68*1000000000</f>
        <v>4030599999.9999995</v>
      </c>
      <c r="D68">
        <v>1411513.0858816137</v>
      </c>
      <c r="E68">
        <f t="shared" ref="E68:E99" si="29">D68*807.5</f>
        <v>1139796816.8494031</v>
      </c>
      <c r="H68" s="8">
        <f t="shared" ref="H68:H99" si="30">(C68-E68)/E68</f>
        <v>2.5362443028585391</v>
      </c>
      <c r="Y68" s="10">
        <v>5.7988</v>
      </c>
      <c r="Z68" s="11">
        <f t="shared" si="5"/>
        <v>5798800000</v>
      </c>
      <c r="AA68">
        <v>2036031.4656062126</v>
      </c>
      <c r="AB68" s="11">
        <f t="shared" si="6"/>
        <v>1644095408.4770167</v>
      </c>
      <c r="AD68" s="8">
        <f t="shared" si="7"/>
        <v>2.5270459184431591</v>
      </c>
      <c r="AE68" s="8">
        <f t="shared" si="8"/>
        <v>3.5270459184431591</v>
      </c>
      <c r="AT68">
        <v>4.6383999999999999</v>
      </c>
      <c r="AU68" s="11">
        <f t="shared" si="9"/>
        <v>4638400000</v>
      </c>
      <c r="AV68">
        <v>1411513.0858816137</v>
      </c>
      <c r="AW68" s="11">
        <f t="shared" si="10"/>
        <v>1139796816.8494031</v>
      </c>
      <c r="AY68" s="11">
        <f t="shared" si="11"/>
        <v>3.069497239710973</v>
      </c>
      <c r="AZ68" s="11">
        <f t="shared" si="12"/>
        <v>4.069497239710973</v>
      </c>
      <c r="BG68">
        <v>3.5042</v>
      </c>
      <c r="BH68" s="11">
        <f t="shared" si="13"/>
        <v>35042000000</v>
      </c>
      <c r="BI68">
        <v>1411513.0858816137</v>
      </c>
      <c r="BJ68" s="11">
        <f t="shared" si="14"/>
        <v>1139796816.8494031</v>
      </c>
      <c r="BL68" s="11">
        <f t="shared" si="15"/>
        <v>30.744076033535688</v>
      </c>
      <c r="BM68" s="11">
        <f t="shared" si="16"/>
        <v>29.744076033535688</v>
      </c>
    </row>
    <row r="69" spans="1:65" x14ac:dyDescent="0.3">
      <c r="A69" t="s">
        <v>48</v>
      </c>
      <c r="B69">
        <v>4.4082999999999997</v>
      </c>
      <c r="C69">
        <f t="shared" si="28"/>
        <v>4408300000</v>
      </c>
      <c r="D69">
        <v>1543762.3764788627</v>
      </c>
      <c r="E69">
        <f t="shared" si="29"/>
        <v>1246588119.0066817</v>
      </c>
      <c r="H69" s="8">
        <f t="shared" si="30"/>
        <v>2.536292326861469</v>
      </c>
      <c r="Y69" s="10">
        <v>6.3421000000000003</v>
      </c>
      <c r="Z69" s="11">
        <f t="shared" ref="Z69:Z132" si="31">Y69*10^9</f>
        <v>6342100000</v>
      </c>
      <c r="AA69">
        <v>2226793.9315396547</v>
      </c>
      <c r="AB69" s="11">
        <f t="shared" ref="AB69:AB132" si="32">AA69*807.5</f>
        <v>1798136099.7182713</v>
      </c>
      <c r="AD69" s="8">
        <f t="shared" ref="AD69:AD132" si="33">(Z69-AB69)/AB69</f>
        <v>2.5270411405419582</v>
      </c>
      <c r="AE69" s="8">
        <f t="shared" ref="AE69:AE132" si="34">Z69/AB69</f>
        <v>3.5270411405419582</v>
      </c>
      <c r="AT69">
        <v>5.0728999999999997</v>
      </c>
      <c r="AU69" s="11">
        <f t="shared" ref="AU69:AU132" si="35">AT69*10^9</f>
        <v>5072900000</v>
      </c>
      <c r="AV69">
        <v>1543762.3764788627</v>
      </c>
      <c r="AW69" s="11">
        <f t="shared" ref="AW69:AW132" si="36">AV69*807.5</f>
        <v>1246588119.0066817</v>
      </c>
      <c r="AY69" s="11">
        <f t="shared" ref="AY69:AY132" si="37">(AU69-AW69)/AW69</f>
        <v>3.069427521932615</v>
      </c>
      <c r="AZ69" s="11">
        <f t="shared" ref="AZ69:AZ132" si="38">AU69/AW69</f>
        <v>4.0694275219326146</v>
      </c>
      <c r="BG69">
        <v>3.8325</v>
      </c>
      <c r="BH69" s="11">
        <f t="shared" ref="BH69:BH132" si="39">BG69*10^10</f>
        <v>38325000000</v>
      </c>
      <c r="BI69">
        <v>1543762.3764788627</v>
      </c>
      <c r="BJ69" s="11">
        <f t="shared" ref="BJ69:BJ132" si="40">BI69*807.5</f>
        <v>1246588119.0066817</v>
      </c>
      <c r="BL69" s="11">
        <f t="shared" ref="BL69:BL132" si="41">BH69/BJ69</f>
        <v>30.743915665214661</v>
      </c>
      <c r="BM69" s="11">
        <f t="shared" ref="BM69:BM132" si="42">(BH69-BJ69)/BJ69</f>
        <v>29.743915665214661</v>
      </c>
    </row>
    <row r="70" spans="1:65" x14ac:dyDescent="0.3">
      <c r="A70" t="s">
        <v>49</v>
      </c>
      <c r="B70">
        <v>5.0594000000000001</v>
      </c>
      <c r="C70">
        <f t="shared" si="28"/>
        <v>5059400000</v>
      </c>
      <c r="D70">
        <v>1771774.6486460788</v>
      </c>
      <c r="E70">
        <f t="shared" si="29"/>
        <v>1430708028.7817087</v>
      </c>
      <c r="H70" s="8">
        <f t="shared" si="30"/>
        <v>2.5362910518564941</v>
      </c>
      <c r="Y70" s="10">
        <v>7.2788000000000004</v>
      </c>
      <c r="Z70" s="11">
        <f t="shared" si="31"/>
        <v>7278800000</v>
      </c>
      <c r="AA70">
        <v>2555689.3313204232</v>
      </c>
      <c r="AB70" s="11">
        <f t="shared" si="32"/>
        <v>2063719135.0412416</v>
      </c>
      <c r="AD70" s="8">
        <f t="shared" si="33"/>
        <v>2.5270303387745345</v>
      </c>
      <c r="AE70" s="8">
        <f t="shared" si="34"/>
        <v>3.5270303387745345</v>
      </c>
      <c r="AT70">
        <v>5.8221999999999996</v>
      </c>
      <c r="AU70" s="11">
        <f t="shared" si="35"/>
        <v>5822200000</v>
      </c>
      <c r="AV70">
        <v>1771774.6486460788</v>
      </c>
      <c r="AW70" s="11">
        <f t="shared" si="36"/>
        <v>1430708028.7817087</v>
      </c>
      <c r="AY70" s="11">
        <f t="shared" si="37"/>
        <v>3.0694536431432344</v>
      </c>
      <c r="AZ70" s="11">
        <f t="shared" si="38"/>
        <v>4.069453643143234</v>
      </c>
      <c r="BG70">
        <v>4.3986000000000001</v>
      </c>
      <c r="BH70" s="11">
        <f t="shared" si="39"/>
        <v>43986000000</v>
      </c>
      <c r="BI70">
        <v>1771774.6486460788</v>
      </c>
      <c r="BJ70" s="11">
        <f t="shared" si="40"/>
        <v>1430708028.7817087</v>
      </c>
      <c r="BL70" s="11">
        <f t="shared" si="41"/>
        <v>30.744218327659357</v>
      </c>
      <c r="BM70" s="11">
        <f t="shared" si="42"/>
        <v>29.744218327659357</v>
      </c>
    </row>
    <row r="71" spans="1:65" x14ac:dyDescent="0.3">
      <c r="A71" t="s">
        <v>50</v>
      </c>
      <c r="B71">
        <v>5.2727000000000004</v>
      </c>
      <c r="C71">
        <f t="shared" si="28"/>
        <v>5272700000</v>
      </c>
      <c r="D71">
        <v>1846452.2054769935</v>
      </c>
      <c r="E71">
        <f t="shared" si="29"/>
        <v>1491010155.9226723</v>
      </c>
      <c r="H71" s="8">
        <f t="shared" si="30"/>
        <v>2.5363273543479847</v>
      </c>
      <c r="Y71" s="10">
        <v>7.5856000000000003</v>
      </c>
      <c r="Z71" s="11">
        <f t="shared" si="31"/>
        <v>7585600000</v>
      </c>
      <c r="AA71">
        <v>2663407.6776844403</v>
      </c>
      <c r="AB71" s="11">
        <f t="shared" si="32"/>
        <v>2150701699.7301855</v>
      </c>
      <c r="AD71" s="8">
        <f t="shared" si="33"/>
        <v>2.5270349211848604</v>
      </c>
      <c r="AE71" s="8">
        <f t="shared" si="34"/>
        <v>3.5270349211848604</v>
      </c>
      <c r="AT71">
        <v>6.0675999999999997</v>
      </c>
      <c r="AU71" s="11">
        <f t="shared" si="35"/>
        <v>6067600000</v>
      </c>
      <c r="AV71">
        <v>1846452.2054769935</v>
      </c>
      <c r="AW71" s="11">
        <f t="shared" si="36"/>
        <v>1491010155.9226723</v>
      </c>
      <c r="AY71" s="11">
        <f t="shared" si="37"/>
        <v>3.0694558490416357</v>
      </c>
      <c r="AZ71" s="11">
        <f t="shared" si="38"/>
        <v>4.0694558490416357</v>
      </c>
      <c r="BG71">
        <v>4.5839999999999996</v>
      </c>
      <c r="BH71" s="11">
        <f t="shared" si="39"/>
        <v>45840000000</v>
      </c>
      <c r="BI71">
        <v>1846452.2054769935</v>
      </c>
      <c r="BJ71" s="11">
        <f t="shared" si="40"/>
        <v>1491010155.9226723</v>
      </c>
      <c r="BL71" s="11">
        <f t="shared" si="41"/>
        <v>30.744257386786963</v>
      </c>
      <c r="BM71" s="11">
        <f t="shared" si="42"/>
        <v>29.744257386786966</v>
      </c>
    </row>
    <row r="72" spans="1:65" x14ac:dyDescent="0.3">
      <c r="A72" t="s">
        <v>51</v>
      </c>
      <c r="B72">
        <v>4.7529000000000003</v>
      </c>
      <c r="C72">
        <f t="shared" si="28"/>
        <v>4752900000</v>
      </c>
      <c r="D72">
        <v>1664419.0301787043</v>
      </c>
      <c r="E72">
        <f t="shared" si="29"/>
        <v>1344018366.8693037</v>
      </c>
      <c r="H72" s="8">
        <f t="shared" si="30"/>
        <v>2.5363356016266301</v>
      </c>
      <c r="Y72" s="10">
        <v>6.8377999999999997</v>
      </c>
      <c r="Z72" s="11">
        <f t="shared" si="31"/>
        <v>6837800000</v>
      </c>
      <c r="AA72">
        <v>2400834.6442505769</v>
      </c>
      <c r="AB72" s="11">
        <f t="shared" si="32"/>
        <v>1938673975.2323408</v>
      </c>
      <c r="AD72" s="8">
        <f t="shared" si="33"/>
        <v>2.5270499771270321</v>
      </c>
      <c r="AE72" s="8">
        <f t="shared" si="34"/>
        <v>3.5270499771270321</v>
      </c>
      <c r="AT72">
        <v>5.4694000000000003</v>
      </c>
      <c r="AU72" s="11">
        <f t="shared" si="35"/>
        <v>5469400000</v>
      </c>
      <c r="AV72">
        <v>1664419.0301787043</v>
      </c>
      <c r="AW72" s="11">
        <f t="shared" si="36"/>
        <v>1344018366.8693037</v>
      </c>
      <c r="AY72" s="11">
        <f t="shared" si="37"/>
        <v>3.0694384353840163</v>
      </c>
      <c r="AZ72" s="11">
        <f t="shared" si="38"/>
        <v>4.0694384353840158</v>
      </c>
      <c r="BG72">
        <v>4.1321000000000003</v>
      </c>
      <c r="BH72" s="11">
        <f t="shared" si="39"/>
        <v>41321000000</v>
      </c>
      <c r="BI72">
        <v>1664419.0301787043</v>
      </c>
      <c r="BJ72" s="11">
        <f t="shared" si="40"/>
        <v>1344018366.8693037</v>
      </c>
      <c r="BL72" s="11">
        <f t="shared" si="41"/>
        <v>30.744371519454223</v>
      </c>
      <c r="BM72" s="11">
        <f t="shared" si="42"/>
        <v>29.744371519454226</v>
      </c>
    </row>
    <row r="73" spans="1:65" x14ac:dyDescent="0.3">
      <c r="A73" t="s">
        <v>52</v>
      </c>
      <c r="B73">
        <v>4.5137</v>
      </c>
      <c r="C73">
        <f t="shared" si="28"/>
        <v>4513700000</v>
      </c>
      <c r="D73">
        <v>1580678.2266719756</v>
      </c>
      <c r="E73">
        <f t="shared" si="29"/>
        <v>1276397668.0376203</v>
      </c>
      <c r="H73" s="8">
        <f t="shared" si="30"/>
        <v>2.5362803560582532</v>
      </c>
      <c r="Y73" s="10">
        <v>6.4938000000000002</v>
      </c>
      <c r="Z73" s="11">
        <f t="shared" si="31"/>
        <v>6493800000</v>
      </c>
      <c r="AA73">
        <v>2280043.0535807991</v>
      </c>
      <c r="AB73" s="11">
        <f t="shared" si="32"/>
        <v>1841134765.7664952</v>
      </c>
      <c r="AD73" s="8">
        <f t="shared" si="33"/>
        <v>2.5270639177227872</v>
      </c>
      <c r="AE73" s="8">
        <f t="shared" si="34"/>
        <v>3.5270639177227867</v>
      </c>
      <c r="AT73">
        <v>5.1943000000000001</v>
      </c>
      <c r="AU73" s="11">
        <f t="shared" si="35"/>
        <v>5194300000</v>
      </c>
      <c r="AV73">
        <v>1580678.2266719756</v>
      </c>
      <c r="AW73" s="11">
        <f t="shared" si="36"/>
        <v>1276397668.0376203</v>
      </c>
      <c r="AY73" s="11">
        <f t="shared" si="37"/>
        <v>3.0694997570670144</v>
      </c>
      <c r="AZ73" s="11">
        <f t="shared" si="38"/>
        <v>4.0694997570670148</v>
      </c>
      <c r="BG73">
        <v>3.9241999999999999</v>
      </c>
      <c r="BH73" s="11">
        <f t="shared" si="39"/>
        <v>39242000000</v>
      </c>
      <c r="BI73">
        <v>1580678.2266719756</v>
      </c>
      <c r="BJ73" s="11">
        <f t="shared" si="40"/>
        <v>1276397668.0376203</v>
      </c>
      <c r="BL73" s="11">
        <f t="shared" si="41"/>
        <v>30.744336959132855</v>
      </c>
      <c r="BM73" s="11">
        <f t="shared" si="42"/>
        <v>29.744336959132855</v>
      </c>
    </row>
    <row r="74" spans="1:65" x14ac:dyDescent="0.3">
      <c r="A74" t="s">
        <v>53</v>
      </c>
      <c r="B74">
        <v>4.0922000000000001</v>
      </c>
      <c r="C74">
        <f t="shared" si="28"/>
        <v>4092200000</v>
      </c>
      <c r="D74">
        <v>1433047.5019972669</v>
      </c>
      <c r="E74">
        <f t="shared" si="29"/>
        <v>1157185857.862793</v>
      </c>
      <c r="H74" s="8">
        <f t="shared" si="30"/>
        <v>2.5363377215462051</v>
      </c>
      <c r="Y74" s="10">
        <v>5.8872999999999998</v>
      </c>
      <c r="Z74" s="11">
        <f t="shared" si="31"/>
        <v>5887300000</v>
      </c>
      <c r="AA74">
        <v>2067093.6989241152</v>
      </c>
      <c r="AB74" s="11">
        <f t="shared" si="32"/>
        <v>1669178161.881223</v>
      </c>
      <c r="AD74" s="8">
        <f t="shared" si="33"/>
        <v>2.5270650757644733</v>
      </c>
      <c r="AE74" s="8">
        <f t="shared" si="34"/>
        <v>3.5270650757644733</v>
      </c>
      <c r="AT74">
        <v>4.7091000000000003</v>
      </c>
      <c r="AU74" s="11">
        <f t="shared" si="35"/>
        <v>4709100000</v>
      </c>
      <c r="AV74">
        <v>1433047.5019972669</v>
      </c>
      <c r="AW74" s="11">
        <f t="shared" si="36"/>
        <v>1157185857.862793</v>
      </c>
      <c r="AY74" s="11">
        <f t="shared" si="37"/>
        <v>3.0694413676099002</v>
      </c>
      <c r="AZ74" s="11">
        <f t="shared" si="38"/>
        <v>4.0694413676099002</v>
      </c>
      <c r="BG74">
        <v>3.5577000000000001</v>
      </c>
      <c r="BH74" s="11">
        <f t="shared" si="39"/>
        <v>35577000000</v>
      </c>
      <c r="BI74">
        <v>1433047.5019972669</v>
      </c>
      <c r="BJ74" s="11">
        <f t="shared" si="40"/>
        <v>1157185857.862793</v>
      </c>
      <c r="BL74" s="11">
        <f t="shared" si="41"/>
        <v>30.744413058855709</v>
      </c>
      <c r="BM74" s="11">
        <f t="shared" si="42"/>
        <v>29.744413058855709</v>
      </c>
    </row>
    <row r="75" spans="1:65" s="1" customFormat="1" x14ac:dyDescent="0.3">
      <c r="A75" s="1" t="s">
        <v>54</v>
      </c>
      <c r="B75" s="1">
        <v>4.7927999999999997</v>
      </c>
      <c r="C75" s="1">
        <f t="shared" si="28"/>
        <v>4792800000</v>
      </c>
      <c r="D75" s="1">
        <v>1678429.5215140909</v>
      </c>
      <c r="E75" s="1">
        <f t="shared" si="29"/>
        <v>1355331838.6226285</v>
      </c>
      <c r="H75" s="13">
        <f t="shared" si="30"/>
        <v>2.5362557444756395</v>
      </c>
      <c r="Y75" s="15">
        <v>6.8952999999999998</v>
      </c>
      <c r="Z75" s="14">
        <f t="shared" si="31"/>
        <v>6895300000</v>
      </c>
      <c r="AA75" s="1">
        <v>2421044.0220401096</v>
      </c>
      <c r="AB75" s="14">
        <f t="shared" si="32"/>
        <v>1954993047.7973886</v>
      </c>
      <c r="AD75" s="13">
        <f t="shared" si="33"/>
        <v>2.5270202151197703</v>
      </c>
      <c r="AE75" s="13">
        <f t="shared" si="34"/>
        <v>3.5270202151197698</v>
      </c>
      <c r="AT75" s="1">
        <v>5.5155000000000003</v>
      </c>
      <c r="AU75" s="14">
        <f t="shared" si="35"/>
        <v>5515500000</v>
      </c>
      <c r="AV75" s="1">
        <v>1678429.5215140909</v>
      </c>
      <c r="AW75" s="14">
        <f t="shared" si="36"/>
        <v>1355331838.6226285</v>
      </c>
      <c r="AY75" s="14">
        <f t="shared" si="37"/>
        <v>3.0694830910230739</v>
      </c>
      <c r="AZ75" s="14">
        <f t="shared" si="38"/>
        <v>4.0694830910230735</v>
      </c>
      <c r="BG75" s="1">
        <v>4.1669</v>
      </c>
      <c r="BH75" s="14">
        <f t="shared" si="39"/>
        <v>41669000000</v>
      </c>
      <c r="BI75" s="1">
        <v>1678429.5215140909</v>
      </c>
      <c r="BJ75" s="14">
        <f t="shared" si="40"/>
        <v>1355331838.6226285</v>
      </c>
      <c r="BL75" s="14">
        <f t="shared" si="41"/>
        <v>30.74450021210053</v>
      </c>
      <c r="BM75" s="14">
        <f t="shared" si="42"/>
        <v>29.74450021210053</v>
      </c>
    </row>
    <row r="76" spans="1:65" x14ac:dyDescent="0.3">
      <c r="A76" t="s">
        <v>43</v>
      </c>
      <c r="B76">
        <v>4.1052999999999997</v>
      </c>
      <c r="C76">
        <f t="shared" si="28"/>
        <v>4105299999.9999995</v>
      </c>
      <c r="D76">
        <v>1437368.9166413865</v>
      </c>
      <c r="E76">
        <f t="shared" si="29"/>
        <v>1160675400.1879196</v>
      </c>
      <c r="H76" s="8">
        <f t="shared" si="30"/>
        <v>2.5369923402661323</v>
      </c>
      <c r="Y76" s="10">
        <v>5.9396000000000004</v>
      </c>
      <c r="Z76" s="11">
        <f t="shared" si="31"/>
        <v>5939600000</v>
      </c>
      <c r="AA76">
        <v>2084792.2681088729</v>
      </c>
      <c r="AB76" s="11">
        <f t="shared" si="32"/>
        <v>1683469756.4979148</v>
      </c>
      <c r="AD76" s="8">
        <f t="shared" si="33"/>
        <v>2.5281893108409736</v>
      </c>
      <c r="AE76" s="8">
        <f t="shared" si="34"/>
        <v>3.5281893108409736</v>
      </c>
      <c r="AT76">
        <v>4.7111000000000001</v>
      </c>
      <c r="AU76" s="11">
        <f t="shared" si="35"/>
        <v>4711100000</v>
      </c>
      <c r="AV76">
        <v>1437368.9166413865</v>
      </c>
      <c r="AW76" s="11">
        <f t="shared" si="36"/>
        <v>1160675400.1879196</v>
      </c>
      <c r="AY76" s="11">
        <f t="shared" si="37"/>
        <v>3.0589298258903801</v>
      </c>
      <c r="AZ76" s="11">
        <f t="shared" si="38"/>
        <v>4.0589298258903801</v>
      </c>
      <c r="BG76">
        <v>3.5981000000000001</v>
      </c>
      <c r="BH76" s="11">
        <f t="shared" si="39"/>
        <v>35981000000</v>
      </c>
      <c r="BI76">
        <v>1437368.9166413865</v>
      </c>
      <c r="BJ76" s="11">
        <f t="shared" si="40"/>
        <v>1160675400.1879196</v>
      </c>
      <c r="BL76" s="11">
        <f t="shared" si="41"/>
        <v>31.000053929095493</v>
      </c>
      <c r="BM76" s="11">
        <f t="shared" si="42"/>
        <v>30.000053929095493</v>
      </c>
    </row>
    <row r="77" spans="1:65" x14ac:dyDescent="0.3">
      <c r="A77" t="s">
        <v>44</v>
      </c>
      <c r="B77">
        <v>3.7136999999999998</v>
      </c>
      <c r="C77">
        <f t="shared" si="28"/>
        <v>3713700000</v>
      </c>
      <c r="D77">
        <v>1300266.7891578795</v>
      </c>
      <c r="E77">
        <f t="shared" si="29"/>
        <v>1049965432.2449877</v>
      </c>
      <c r="H77" s="8">
        <f t="shared" si="30"/>
        <v>2.5369735859394322</v>
      </c>
      <c r="Y77" s="10">
        <v>5.3731</v>
      </c>
      <c r="Z77" s="11">
        <f t="shared" si="31"/>
        <v>5373100000</v>
      </c>
      <c r="AA77">
        <v>1885936.2527813865</v>
      </c>
      <c r="AB77" s="11">
        <f t="shared" si="32"/>
        <v>1522893524.1209695</v>
      </c>
      <c r="AD77" s="8">
        <f t="shared" si="33"/>
        <v>2.5282177741883896</v>
      </c>
      <c r="AE77" s="8">
        <f t="shared" si="34"/>
        <v>3.5282177741883896</v>
      </c>
      <c r="AT77">
        <v>4.2617000000000003</v>
      </c>
      <c r="AU77" s="11">
        <f t="shared" si="35"/>
        <v>4261700000.0000005</v>
      </c>
      <c r="AV77">
        <v>1300266.7891578795</v>
      </c>
      <c r="AW77" s="11">
        <f t="shared" si="36"/>
        <v>1049965432.2449877</v>
      </c>
      <c r="AY77" s="11">
        <f t="shared" si="37"/>
        <v>3.0588955303869669</v>
      </c>
      <c r="AZ77" s="11">
        <f t="shared" si="38"/>
        <v>4.0588955303869669</v>
      </c>
      <c r="BG77">
        <v>3.2549000000000001</v>
      </c>
      <c r="BH77" s="11">
        <f t="shared" si="39"/>
        <v>32549000000</v>
      </c>
      <c r="BI77">
        <v>1300266.7891578795</v>
      </c>
      <c r="BJ77" s="11">
        <f t="shared" si="40"/>
        <v>1049965432.2449877</v>
      </c>
      <c r="BL77" s="11">
        <f t="shared" si="41"/>
        <v>31.0000681931073</v>
      </c>
      <c r="BM77" s="11">
        <f t="shared" si="42"/>
        <v>30.0000681931073</v>
      </c>
    </row>
    <row r="78" spans="1:65" x14ac:dyDescent="0.3">
      <c r="A78" t="s">
        <v>45</v>
      </c>
      <c r="B78">
        <v>4.2321</v>
      </c>
      <c r="C78">
        <f t="shared" si="28"/>
        <v>4232100000</v>
      </c>
      <c r="D78">
        <v>1481739.7422217343</v>
      </c>
      <c r="E78">
        <f t="shared" si="29"/>
        <v>1196504841.8440504</v>
      </c>
      <c r="H78" s="8">
        <f t="shared" si="30"/>
        <v>2.537052130501618</v>
      </c>
      <c r="Y78" s="10">
        <v>6.1230000000000002</v>
      </c>
      <c r="Z78" s="11">
        <f t="shared" si="31"/>
        <v>6123000000</v>
      </c>
      <c r="AA78">
        <v>2149148.7134365379</v>
      </c>
      <c r="AB78" s="11">
        <f t="shared" si="32"/>
        <v>1735437586.1000044</v>
      </c>
      <c r="AD78" s="8">
        <f t="shared" si="33"/>
        <v>2.5282167731309948</v>
      </c>
      <c r="AE78" s="8">
        <f t="shared" si="34"/>
        <v>3.5282167731309944</v>
      </c>
      <c r="AT78">
        <v>4.8564999999999996</v>
      </c>
      <c r="AU78" s="11">
        <f t="shared" si="35"/>
        <v>4856500000</v>
      </c>
      <c r="AV78">
        <v>1481739.7422217343</v>
      </c>
      <c r="AW78" s="11">
        <f t="shared" si="36"/>
        <v>1196504841.8440504</v>
      </c>
      <c r="AY78" s="11">
        <f t="shared" si="37"/>
        <v>3.0589054303492609</v>
      </c>
      <c r="AZ78" s="11">
        <f t="shared" si="38"/>
        <v>4.0589054303492613</v>
      </c>
      <c r="BG78">
        <v>3.7092000000000001</v>
      </c>
      <c r="BH78" s="11">
        <f t="shared" si="39"/>
        <v>37092000000</v>
      </c>
      <c r="BI78">
        <v>1481739.7422217343</v>
      </c>
      <c r="BJ78" s="11">
        <f t="shared" si="40"/>
        <v>1196504841.8440504</v>
      </c>
      <c r="BL78" s="11">
        <f t="shared" si="41"/>
        <v>31.000292437458004</v>
      </c>
      <c r="BM78" s="11">
        <f t="shared" si="42"/>
        <v>30.000292437458004</v>
      </c>
    </row>
    <row r="79" spans="1:65" x14ac:dyDescent="0.3">
      <c r="A79" t="s">
        <v>46</v>
      </c>
      <c r="B79">
        <v>3.9962</v>
      </c>
      <c r="C79">
        <f t="shared" si="28"/>
        <v>3996200000</v>
      </c>
      <c r="D79">
        <v>1399168.3662626457</v>
      </c>
      <c r="E79">
        <f t="shared" si="29"/>
        <v>1129828455.7570865</v>
      </c>
      <c r="H79" s="8">
        <f t="shared" si="30"/>
        <v>2.5369971252159575</v>
      </c>
      <c r="Y79" s="10">
        <v>5.7817999999999996</v>
      </c>
      <c r="Z79" s="11">
        <f t="shared" si="31"/>
        <v>5781800000</v>
      </c>
      <c r="AA79">
        <v>2029385.328982074</v>
      </c>
      <c r="AB79" s="11">
        <f t="shared" si="32"/>
        <v>1638728653.1530247</v>
      </c>
      <c r="AD79" s="8">
        <f t="shared" si="33"/>
        <v>2.5282229238351488</v>
      </c>
      <c r="AE79" s="8">
        <f t="shared" si="34"/>
        <v>3.5282229238351488</v>
      </c>
      <c r="AT79">
        <v>4.5858999999999996</v>
      </c>
      <c r="AU79" s="11">
        <f t="shared" si="35"/>
        <v>4585900000</v>
      </c>
      <c r="AV79">
        <v>1399168.3662626457</v>
      </c>
      <c r="AW79" s="11">
        <f t="shared" si="36"/>
        <v>1129828455.7570865</v>
      </c>
      <c r="AY79" s="11">
        <f t="shared" si="37"/>
        <v>3.0589347671607676</v>
      </c>
      <c r="AZ79" s="11">
        <f t="shared" si="38"/>
        <v>4.0589347671607676</v>
      </c>
      <c r="BG79">
        <v>3.5024999999999999</v>
      </c>
      <c r="BH79" s="11">
        <f t="shared" si="39"/>
        <v>35025000000</v>
      </c>
      <c r="BI79">
        <v>1399168.3662626457</v>
      </c>
      <c r="BJ79" s="11">
        <f t="shared" si="40"/>
        <v>1129828455.7570865</v>
      </c>
      <c r="BL79" s="11">
        <f t="shared" si="41"/>
        <v>31.000281344949933</v>
      </c>
      <c r="BM79" s="11">
        <f t="shared" si="42"/>
        <v>30.000281344949933</v>
      </c>
    </row>
    <row r="80" spans="1:65" x14ac:dyDescent="0.3">
      <c r="A80" t="s">
        <v>47</v>
      </c>
      <c r="B80">
        <v>4.1185</v>
      </c>
      <c r="C80">
        <f t="shared" si="28"/>
        <v>4118500000</v>
      </c>
      <c r="D80">
        <v>1441977.3970876916</v>
      </c>
      <c r="E80">
        <f t="shared" si="29"/>
        <v>1164396748.1483109</v>
      </c>
      <c r="H80" s="8">
        <f t="shared" si="30"/>
        <v>2.5370246495015296</v>
      </c>
      <c r="Y80" s="10">
        <v>5.9587000000000003</v>
      </c>
      <c r="Z80" s="11">
        <f t="shared" si="31"/>
        <v>5958700000</v>
      </c>
      <c r="AA80">
        <v>2091476.5120012744</v>
      </c>
      <c r="AB80" s="11">
        <f t="shared" si="32"/>
        <v>1688867283.4410291</v>
      </c>
      <c r="AD80" s="8">
        <f t="shared" si="33"/>
        <v>2.5282227670721897</v>
      </c>
      <c r="AE80" s="8">
        <f t="shared" si="34"/>
        <v>3.5282227670721897</v>
      </c>
      <c r="AT80">
        <v>4.7262000000000004</v>
      </c>
      <c r="AU80" s="11">
        <f t="shared" si="35"/>
        <v>4726200000</v>
      </c>
      <c r="AV80">
        <v>1441977.3970876916</v>
      </c>
      <c r="AW80" s="11">
        <f t="shared" si="36"/>
        <v>1164396748.1483109</v>
      </c>
      <c r="AY80" s="11">
        <f t="shared" si="37"/>
        <v>3.0589257978570181</v>
      </c>
      <c r="AZ80" s="11">
        <f t="shared" si="38"/>
        <v>4.0589257978570181</v>
      </c>
      <c r="BG80">
        <v>3.6095999999999999</v>
      </c>
      <c r="BH80" s="11">
        <f t="shared" si="39"/>
        <v>36096000000</v>
      </c>
      <c r="BI80">
        <v>1441977.3970876916</v>
      </c>
      <c r="BJ80" s="11">
        <f t="shared" si="40"/>
        <v>1164396748.1483109</v>
      </c>
      <c r="BL80" s="11">
        <f t="shared" si="41"/>
        <v>30.999743049267259</v>
      </c>
      <c r="BM80" s="11">
        <f t="shared" si="42"/>
        <v>29.999743049267263</v>
      </c>
    </row>
    <row r="81" spans="1:65" x14ac:dyDescent="0.3">
      <c r="A81" t="s">
        <v>48</v>
      </c>
      <c r="B81">
        <v>4.5044000000000004</v>
      </c>
      <c r="C81">
        <f t="shared" si="28"/>
        <v>4504400000</v>
      </c>
      <c r="D81">
        <v>1577080.9889208525</v>
      </c>
      <c r="E81">
        <f t="shared" si="29"/>
        <v>1273492898.5535884</v>
      </c>
      <c r="H81" s="8">
        <f t="shared" si="30"/>
        <v>2.537043673440206</v>
      </c>
      <c r="Y81" s="10">
        <v>6.5170000000000003</v>
      </c>
      <c r="Z81" s="11">
        <f t="shared" si="31"/>
        <v>6517000000</v>
      </c>
      <c r="AA81">
        <v>2287433.8061840762</v>
      </c>
      <c r="AB81" s="11">
        <f t="shared" si="32"/>
        <v>1847102798.4936416</v>
      </c>
      <c r="AD81" s="8">
        <f t="shared" si="33"/>
        <v>2.5282281014975321</v>
      </c>
      <c r="AE81" s="8">
        <f t="shared" si="34"/>
        <v>3.5282281014975321</v>
      </c>
      <c r="AT81">
        <v>5.1689999999999996</v>
      </c>
      <c r="AU81" s="11">
        <f t="shared" si="35"/>
        <v>5169000000</v>
      </c>
      <c r="AV81">
        <v>1577080.9889208525</v>
      </c>
      <c r="AW81" s="11">
        <f t="shared" si="36"/>
        <v>1273492898.5535884</v>
      </c>
      <c r="AY81" s="11">
        <f t="shared" si="37"/>
        <v>3.058915448897173</v>
      </c>
      <c r="AZ81" s="11">
        <f t="shared" si="38"/>
        <v>4.0589154488971726</v>
      </c>
      <c r="BG81">
        <v>3.9479000000000002</v>
      </c>
      <c r="BH81" s="11">
        <f t="shared" si="39"/>
        <v>39479000000</v>
      </c>
      <c r="BI81">
        <v>1577080.9889208525</v>
      </c>
      <c r="BJ81" s="11">
        <f t="shared" si="40"/>
        <v>1273492898.5535884</v>
      </c>
      <c r="BL81" s="11">
        <f t="shared" si="41"/>
        <v>31.000565487910908</v>
      </c>
      <c r="BM81" s="11">
        <f t="shared" si="42"/>
        <v>30.000565487910908</v>
      </c>
    </row>
    <row r="82" spans="1:65" x14ac:dyDescent="0.3">
      <c r="A82" t="s">
        <v>49</v>
      </c>
      <c r="B82">
        <v>5.1696999999999997</v>
      </c>
      <c r="C82">
        <f t="shared" si="28"/>
        <v>5169700000</v>
      </c>
      <c r="D82">
        <v>1810014.3892643393</v>
      </c>
      <c r="E82">
        <f t="shared" si="29"/>
        <v>1461586619.3309541</v>
      </c>
      <c r="H82" s="8">
        <f t="shared" si="30"/>
        <v>2.5370466119664168</v>
      </c>
      <c r="Y82" s="10">
        <v>7.4795999999999996</v>
      </c>
      <c r="Z82" s="11">
        <f t="shared" si="31"/>
        <v>7479600000</v>
      </c>
      <c r="AA82">
        <v>2625285.6592456573</v>
      </c>
      <c r="AB82" s="11">
        <f t="shared" si="32"/>
        <v>2119918169.8408682</v>
      </c>
      <c r="AD82" s="8">
        <f t="shared" si="33"/>
        <v>2.5282493949101141</v>
      </c>
      <c r="AE82" s="8">
        <f t="shared" si="34"/>
        <v>3.5282493949101141</v>
      </c>
      <c r="AT82">
        <v>5.9325000000000001</v>
      </c>
      <c r="AU82" s="11">
        <f t="shared" si="35"/>
        <v>5932500000</v>
      </c>
      <c r="AV82">
        <v>1810014.3892643393</v>
      </c>
      <c r="AW82" s="11">
        <f t="shared" si="36"/>
        <v>1461586619.3309541</v>
      </c>
      <c r="AY82" s="11">
        <f t="shared" si="37"/>
        <v>3.0589452048456911</v>
      </c>
      <c r="AZ82" s="11">
        <f t="shared" si="38"/>
        <v>4.0589452048456911</v>
      </c>
      <c r="BG82">
        <v>4.5309999999999997</v>
      </c>
      <c r="BH82" s="11">
        <f t="shared" si="39"/>
        <v>45310000000</v>
      </c>
      <c r="BI82">
        <v>1810014.3892643393</v>
      </c>
      <c r="BJ82" s="11">
        <f t="shared" si="40"/>
        <v>1461586619.3309541</v>
      </c>
      <c r="BL82" s="11">
        <f t="shared" si="41"/>
        <v>31.000557476874548</v>
      </c>
      <c r="BM82" s="11">
        <f t="shared" si="42"/>
        <v>30.000557476874544</v>
      </c>
    </row>
    <row r="83" spans="1:65" x14ac:dyDescent="0.3">
      <c r="A83" t="s">
        <v>50</v>
      </c>
      <c r="B83">
        <v>5.3875999999999999</v>
      </c>
      <c r="C83">
        <f t="shared" si="28"/>
        <v>5387600000</v>
      </c>
      <c r="D83">
        <v>1886303.6919261371</v>
      </c>
      <c r="E83">
        <f t="shared" si="29"/>
        <v>1523190231.2303557</v>
      </c>
      <c r="H83" s="8">
        <f t="shared" si="30"/>
        <v>2.5370499951592849</v>
      </c>
      <c r="Y83" s="10">
        <v>7.7948000000000004</v>
      </c>
      <c r="Z83" s="11">
        <f t="shared" si="31"/>
        <v>7794800000</v>
      </c>
      <c r="AA83">
        <v>2735937.3830218818</v>
      </c>
      <c r="AB83" s="11">
        <f t="shared" si="32"/>
        <v>2209269436.7901697</v>
      </c>
      <c r="AD83" s="8">
        <f t="shared" si="33"/>
        <v>2.528225154522123</v>
      </c>
      <c r="AE83" s="8">
        <f t="shared" si="34"/>
        <v>3.528225154522123</v>
      </c>
      <c r="AT83">
        <v>6.1825999999999999</v>
      </c>
      <c r="AU83" s="11">
        <f t="shared" si="35"/>
        <v>6182600000</v>
      </c>
      <c r="AV83">
        <v>1886303.6919261371</v>
      </c>
      <c r="AW83" s="11">
        <f t="shared" si="36"/>
        <v>1523190231.2303557</v>
      </c>
      <c r="AY83" s="11">
        <f t="shared" si="37"/>
        <v>3.058980863477577</v>
      </c>
      <c r="AZ83" s="11">
        <f t="shared" si="38"/>
        <v>4.0589808634775775</v>
      </c>
      <c r="BG83">
        <v>4.7218999999999998</v>
      </c>
      <c r="BH83" s="11">
        <f t="shared" si="39"/>
        <v>47219000000</v>
      </c>
      <c r="BI83">
        <v>1886303.6919261371</v>
      </c>
      <c r="BJ83" s="11">
        <f t="shared" si="40"/>
        <v>1523190231.2303557</v>
      </c>
      <c r="BL83" s="11">
        <f t="shared" si="41"/>
        <v>31.000067510844584</v>
      </c>
      <c r="BM83" s="11">
        <f t="shared" si="42"/>
        <v>30.000067510844584</v>
      </c>
    </row>
    <row r="84" spans="1:65" x14ac:dyDescent="0.3">
      <c r="A84" t="s">
        <v>51</v>
      </c>
      <c r="B84">
        <v>4.8564999999999996</v>
      </c>
      <c r="C84">
        <f t="shared" si="28"/>
        <v>4856500000</v>
      </c>
      <c r="D84">
        <v>1700341.7430602589</v>
      </c>
      <c r="E84">
        <f t="shared" si="29"/>
        <v>1373025957.5211592</v>
      </c>
      <c r="H84" s="8">
        <f t="shared" si="30"/>
        <v>2.5370780671676836</v>
      </c>
      <c r="Y84" s="10">
        <v>7.0263999999999998</v>
      </c>
      <c r="Z84" s="11">
        <f t="shared" si="31"/>
        <v>7026400000</v>
      </c>
      <c r="AA84">
        <v>2466213.9816950066</v>
      </c>
      <c r="AB84" s="11">
        <f t="shared" si="32"/>
        <v>1991467790.2187178</v>
      </c>
      <c r="AD84" s="8">
        <f t="shared" si="33"/>
        <v>2.528251892654668</v>
      </c>
      <c r="AE84" s="8">
        <f t="shared" si="34"/>
        <v>3.528251892654668</v>
      </c>
      <c r="AT84">
        <v>5.5731000000000002</v>
      </c>
      <c r="AU84" s="11">
        <f t="shared" si="35"/>
        <v>5573100000</v>
      </c>
      <c r="AV84">
        <v>1700341.7430602589</v>
      </c>
      <c r="AW84" s="11">
        <f t="shared" si="36"/>
        <v>1373025957.5211592</v>
      </c>
      <c r="AY84" s="11">
        <f t="shared" si="37"/>
        <v>3.0589909968356261</v>
      </c>
      <c r="AZ84" s="11">
        <f t="shared" si="38"/>
        <v>4.0589909968356261</v>
      </c>
      <c r="BG84">
        <v>4.2564000000000002</v>
      </c>
      <c r="BH84" s="11">
        <f t="shared" si="39"/>
        <v>42564000000</v>
      </c>
      <c r="BI84">
        <v>1700341.7430602589</v>
      </c>
      <c r="BJ84" s="11">
        <f t="shared" si="40"/>
        <v>1373025957.5211592</v>
      </c>
      <c r="BL84" s="11">
        <f t="shared" si="41"/>
        <v>31.000142252841613</v>
      </c>
      <c r="BM84" s="11">
        <f t="shared" si="42"/>
        <v>30.000142252841616</v>
      </c>
    </row>
    <row r="85" spans="1:65" x14ac:dyDescent="0.3">
      <c r="A85" t="s">
        <v>52</v>
      </c>
      <c r="B85">
        <v>4.6120999999999999</v>
      </c>
      <c r="C85">
        <f t="shared" si="28"/>
        <v>4612100000</v>
      </c>
      <c r="D85">
        <v>1614793.584082162</v>
      </c>
      <c r="E85">
        <f t="shared" si="29"/>
        <v>1303945819.1463459</v>
      </c>
      <c r="H85" s="8">
        <f t="shared" si="30"/>
        <v>2.5370334658685461</v>
      </c>
      <c r="Y85" s="10">
        <v>6.6727999999999996</v>
      </c>
      <c r="Z85" s="11">
        <f t="shared" si="31"/>
        <v>6672800000</v>
      </c>
      <c r="AA85">
        <v>2342133.0040673385</v>
      </c>
      <c r="AB85" s="11">
        <f t="shared" si="32"/>
        <v>1891272400.7843759</v>
      </c>
      <c r="AD85" s="8">
        <f t="shared" si="33"/>
        <v>2.5282067232792902</v>
      </c>
      <c r="AE85" s="8">
        <f t="shared" si="34"/>
        <v>3.5282067232792906</v>
      </c>
      <c r="AT85">
        <v>5.2926000000000002</v>
      </c>
      <c r="AU85" s="11">
        <f t="shared" si="35"/>
        <v>5292600000</v>
      </c>
      <c r="AV85">
        <v>1614793.584082162</v>
      </c>
      <c r="AW85" s="11">
        <f t="shared" si="36"/>
        <v>1303945819.1463459</v>
      </c>
      <c r="AY85" s="11">
        <f t="shared" si="37"/>
        <v>3.0589109779614203</v>
      </c>
      <c r="AZ85" s="11">
        <f t="shared" si="38"/>
        <v>4.0589109779614203</v>
      </c>
      <c r="BG85">
        <v>4.0423</v>
      </c>
      <c r="BH85" s="11">
        <f t="shared" si="39"/>
        <v>40423000000</v>
      </c>
      <c r="BI85">
        <v>1614793.584082162</v>
      </c>
      <c r="BJ85" s="11">
        <f t="shared" si="40"/>
        <v>1303945819.1463459</v>
      </c>
      <c r="BL85" s="11">
        <f t="shared" si="41"/>
        <v>31.000521192256073</v>
      </c>
      <c r="BM85" s="11">
        <f t="shared" si="42"/>
        <v>30.000521192256073</v>
      </c>
    </row>
    <row r="86" spans="1:65" x14ac:dyDescent="0.3">
      <c r="A86" t="s">
        <v>53</v>
      </c>
      <c r="B86">
        <v>4.1814</v>
      </c>
      <c r="C86">
        <f t="shared" si="28"/>
        <v>4181400000</v>
      </c>
      <c r="D86">
        <v>1463976.5847741864</v>
      </c>
      <c r="E86">
        <f t="shared" si="29"/>
        <v>1182161092.2051556</v>
      </c>
      <c r="H86" s="8">
        <f t="shared" si="30"/>
        <v>2.5370813906590222</v>
      </c>
      <c r="Y86" s="10">
        <v>6.0495999999999999</v>
      </c>
      <c r="Z86" s="11">
        <f t="shared" si="31"/>
        <v>6049600000</v>
      </c>
      <c r="AA86">
        <v>2123384.6295781084</v>
      </c>
      <c r="AB86" s="11">
        <f t="shared" si="32"/>
        <v>1714633088.3843226</v>
      </c>
      <c r="AD86" s="8">
        <f t="shared" si="33"/>
        <v>2.5282183931843178</v>
      </c>
      <c r="AE86" s="8">
        <f t="shared" si="34"/>
        <v>3.5282183931843183</v>
      </c>
      <c r="AT86">
        <v>4.7984</v>
      </c>
      <c r="AU86" s="11">
        <f t="shared" si="35"/>
        <v>4798400000</v>
      </c>
      <c r="AV86">
        <v>1463976.5847741864</v>
      </c>
      <c r="AW86" s="11">
        <f t="shared" si="36"/>
        <v>1182161092.2051556</v>
      </c>
      <c r="AY86" s="11">
        <f t="shared" si="37"/>
        <v>3.0590068744770296</v>
      </c>
      <c r="AZ86" s="11">
        <f t="shared" si="38"/>
        <v>4.0590068744770296</v>
      </c>
      <c r="BG86">
        <v>3.6646999999999998</v>
      </c>
      <c r="BH86" s="11">
        <f t="shared" si="39"/>
        <v>36647000000</v>
      </c>
      <c r="BI86">
        <v>1463976.5847741864</v>
      </c>
      <c r="BJ86" s="11">
        <f t="shared" si="40"/>
        <v>1182161092.2051556</v>
      </c>
      <c r="BL86" s="11">
        <f t="shared" si="41"/>
        <v>31.000005195265025</v>
      </c>
      <c r="BM86" s="11">
        <f t="shared" si="42"/>
        <v>30.000005195265025</v>
      </c>
    </row>
    <row r="87" spans="1:65" s="1" customFormat="1" x14ac:dyDescent="0.3">
      <c r="A87" s="1" t="s">
        <v>54</v>
      </c>
      <c r="B87" s="1">
        <v>4.8973000000000004</v>
      </c>
      <c r="C87" s="1">
        <f t="shared" si="28"/>
        <v>4897300000</v>
      </c>
      <c r="D87" s="1">
        <v>1714654.619100726</v>
      </c>
      <c r="E87" s="1">
        <f t="shared" si="29"/>
        <v>1384583604.9238362</v>
      </c>
      <c r="H87" s="13">
        <f t="shared" si="30"/>
        <v>2.5370200705716091</v>
      </c>
      <c r="Y87" s="15">
        <v>7.0854999999999997</v>
      </c>
      <c r="Z87" s="14">
        <f t="shared" si="31"/>
        <v>7085500000</v>
      </c>
      <c r="AA87" s="1">
        <v>2486973.6996477852</v>
      </c>
      <c r="AB87" s="14">
        <f t="shared" si="32"/>
        <v>2008231262.4655864</v>
      </c>
      <c r="AD87" s="13">
        <f t="shared" si="33"/>
        <v>2.528229110078112</v>
      </c>
      <c r="AE87" s="13">
        <f t="shared" si="34"/>
        <v>3.5282291100781125</v>
      </c>
      <c r="AT87" s="1">
        <v>5.62</v>
      </c>
      <c r="AU87" s="14">
        <f t="shared" si="35"/>
        <v>5620000000</v>
      </c>
      <c r="AV87" s="1">
        <v>1714654.619100726</v>
      </c>
      <c r="AW87" s="14">
        <f t="shared" si="36"/>
        <v>1384583604.9238362</v>
      </c>
      <c r="AY87" s="14">
        <f t="shared" si="37"/>
        <v>3.0589820506426895</v>
      </c>
      <c r="AZ87" s="14">
        <f t="shared" si="38"/>
        <v>4.0589820506426895</v>
      </c>
      <c r="BG87" s="1">
        <v>4.2922000000000002</v>
      </c>
      <c r="BH87" s="14">
        <f t="shared" si="39"/>
        <v>42922000000</v>
      </c>
      <c r="BI87" s="1">
        <v>1714654.619100726</v>
      </c>
      <c r="BJ87" s="14">
        <f t="shared" si="40"/>
        <v>1384583604.9238362</v>
      </c>
      <c r="BL87" s="14">
        <f t="shared" si="41"/>
        <v>30.999933732684255</v>
      </c>
      <c r="BM87" s="14">
        <f t="shared" si="42"/>
        <v>29.999933732684255</v>
      </c>
    </row>
    <row r="88" spans="1:65" x14ac:dyDescent="0.3">
      <c r="A88" t="s">
        <v>43</v>
      </c>
      <c r="B88">
        <v>4.1928999999999998</v>
      </c>
      <c r="C88">
        <f t="shared" si="28"/>
        <v>4192900000</v>
      </c>
      <c r="D88">
        <v>1467735.8655845143</v>
      </c>
      <c r="E88">
        <f t="shared" si="29"/>
        <v>1185196711.4594953</v>
      </c>
      <c r="H88" s="8">
        <f t="shared" si="30"/>
        <v>2.5377249695847595</v>
      </c>
      <c r="Y88" s="10">
        <v>6.0990000000000002</v>
      </c>
      <c r="Z88" s="11">
        <f t="shared" si="31"/>
        <v>6099000000</v>
      </c>
      <c r="AA88">
        <v>2140060.115185366</v>
      </c>
      <c r="AB88" s="11">
        <f t="shared" si="32"/>
        <v>1728098543.012183</v>
      </c>
      <c r="AD88" s="8">
        <f t="shared" si="33"/>
        <v>2.5293126220505138</v>
      </c>
      <c r="AE88" s="8">
        <f t="shared" si="34"/>
        <v>3.5293126220505138</v>
      </c>
      <c r="AT88">
        <v>4.7987000000000002</v>
      </c>
      <c r="AU88" s="11">
        <f t="shared" si="35"/>
        <v>4798700000</v>
      </c>
      <c r="AV88">
        <v>1467735.8655845143</v>
      </c>
      <c r="AW88" s="11">
        <f t="shared" si="36"/>
        <v>1185196711.4594953</v>
      </c>
      <c r="AY88" s="11">
        <f t="shared" si="37"/>
        <v>3.0488637486098846</v>
      </c>
      <c r="AZ88" s="11">
        <f t="shared" si="38"/>
        <v>4.0488637486098851</v>
      </c>
      <c r="BG88">
        <v>3.7031999999999998</v>
      </c>
      <c r="BH88" s="11">
        <f t="shared" si="39"/>
        <v>37032000000</v>
      </c>
      <c r="BI88">
        <v>1467735.8655845143</v>
      </c>
      <c r="BJ88" s="11">
        <f t="shared" si="40"/>
        <v>1185196711.4594953</v>
      </c>
      <c r="BL88" s="11">
        <f t="shared" si="41"/>
        <v>31.245446128851825</v>
      </c>
      <c r="BM88" s="11">
        <f t="shared" si="42"/>
        <v>30.245446128851825</v>
      </c>
    </row>
    <row r="89" spans="1:65" x14ac:dyDescent="0.3">
      <c r="A89" t="s">
        <v>44</v>
      </c>
      <c r="B89">
        <v>3.7930000000000001</v>
      </c>
      <c r="C89">
        <f t="shared" si="28"/>
        <v>3793000000</v>
      </c>
      <c r="D89">
        <v>1327737.2142809334</v>
      </c>
      <c r="E89">
        <f t="shared" si="29"/>
        <v>1072147800.5318537</v>
      </c>
      <c r="H89" s="8">
        <f t="shared" si="30"/>
        <v>2.537758505047933</v>
      </c>
      <c r="Y89" s="10">
        <v>5.5172999999999996</v>
      </c>
      <c r="Z89" s="11">
        <f t="shared" si="31"/>
        <v>5517300000</v>
      </c>
      <c r="AA89">
        <v>1935932.4265053445</v>
      </c>
      <c r="AB89" s="11">
        <f t="shared" si="32"/>
        <v>1563265434.4030657</v>
      </c>
      <c r="AD89" s="8">
        <f t="shared" si="33"/>
        <v>2.5293430524207721</v>
      </c>
      <c r="AE89" s="8">
        <f t="shared" si="34"/>
        <v>3.5293430524207721</v>
      </c>
      <c r="AT89">
        <v>4.3410000000000002</v>
      </c>
      <c r="AU89" s="11">
        <f t="shared" si="35"/>
        <v>4341000000</v>
      </c>
      <c r="AV89">
        <v>1327737.2142809334</v>
      </c>
      <c r="AW89" s="11">
        <f t="shared" si="36"/>
        <v>1072147800.5318537</v>
      </c>
      <c r="AY89" s="11">
        <f t="shared" si="37"/>
        <v>3.0488820644379322</v>
      </c>
      <c r="AZ89" s="11">
        <f t="shared" si="38"/>
        <v>4.0488820644379322</v>
      </c>
      <c r="BG89">
        <v>3.35</v>
      </c>
      <c r="BH89" s="11">
        <f t="shared" si="39"/>
        <v>33500000000</v>
      </c>
      <c r="BI89">
        <v>1327737.2142809334</v>
      </c>
      <c r="BJ89" s="11">
        <f t="shared" si="40"/>
        <v>1072147800.5318537</v>
      </c>
      <c r="BL89" s="11">
        <f t="shared" si="41"/>
        <v>31.245692043001782</v>
      </c>
      <c r="BM89" s="11">
        <f t="shared" si="42"/>
        <v>30.245692043001782</v>
      </c>
    </row>
    <row r="90" spans="1:65" x14ac:dyDescent="0.3">
      <c r="A90" t="s">
        <v>45</v>
      </c>
      <c r="B90">
        <v>4.3224</v>
      </c>
      <c r="C90">
        <f t="shared" si="28"/>
        <v>4322400000</v>
      </c>
      <c r="D90">
        <v>1513044.1029728977</v>
      </c>
      <c r="E90">
        <f t="shared" si="29"/>
        <v>1221783113.150615</v>
      </c>
      <c r="H90" s="8">
        <f t="shared" si="30"/>
        <v>2.5377801129153088</v>
      </c>
      <c r="Y90" s="10">
        <v>6.2873000000000001</v>
      </c>
      <c r="Z90" s="11">
        <f t="shared" si="31"/>
        <v>6287300000</v>
      </c>
      <c r="AA90">
        <v>2206122.6500036553</v>
      </c>
      <c r="AB90" s="11">
        <f t="shared" si="32"/>
        <v>1781444039.8779516</v>
      </c>
      <c r="AD90" s="8">
        <f t="shared" si="33"/>
        <v>2.5293278145468712</v>
      </c>
      <c r="AE90" s="8">
        <f t="shared" si="34"/>
        <v>3.5293278145468712</v>
      </c>
      <c r="AT90">
        <v>4.9467999999999996</v>
      </c>
      <c r="AU90" s="11">
        <f t="shared" si="35"/>
        <v>4946800000</v>
      </c>
      <c r="AV90">
        <v>1513044.1029728977</v>
      </c>
      <c r="AW90" s="11">
        <f t="shared" si="36"/>
        <v>1221783113.150615</v>
      </c>
      <c r="AY90" s="11">
        <f t="shared" si="37"/>
        <v>3.0488364479385179</v>
      </c>
      <c r="AZ90" s="11">
        <f t="shared" si="38"/>
        <v>4.0488364479385179</v>
      </c>
      <c r="BG90">
        <v>3.8174999999999999</v>
      </c>
      <c r="BH90" s="11">
        <f t="shared" si="39"/>
        <v>38175000000</v>
      </c>
      <c r="BI90">
        <v>1513044.1029728977</v>
      </c>
      <c r="BJ90" s="11">
        <f t="shared" si="40"/>
        <v>1221783113.150615</v>
      </c>
      <c r="BL90" s="11">
        <f t="shared" si="41"/>
        <v>31.245316447006733</v>
      </c>
      <c r="BM90" s="11">
        <f t="shared" si="42"/>
        <v>30.245316447006736</v>
      </c>
    </row>
    <row r="91" spans="1:65" x14ac:dyDescent="0.3">
      <c r="A91" t="s">
        <v>46</v>
      </c>
      <c r="B91">
        <v>4.0815000000000001</v>
      </c>
      <c r="C91">
        <f t="shared" si="28"/>
        <v>4081500000</v>
      </c>
      <c r="D91">
        <v>1428728.2613245326</v>
      </c>
      <c r="E91">
        <f t="shared" si="29"/>
        <v>1153698071.0195601</v>
      </c>
      <c r="H91" s="8">
        <f t="shared" si="30"/>
        <v>2.5377540298676649</v>
      </c>
      <c r="Y91" s="10">
        <v>5.9368999999999996</v>
      </c>
      <c r="Z91" s="11">
        <f t="shared" si="31"/>
        <v>5936900000</v>
      </c>
      <c r="AA91">
        <v>2083184.3379947082</v>
      </c>
      <c r="AB91" s="11">
        <f t="shared" si="32"/>
        <v>1682171352.9307268</v>
      </c>
      <c r="AD91" s="8">
        <f t="shared" si="33"/>
        <v>2.5293075165360315</v>
      </c>
      <c r="AE91" s="8">
        <f t="shared" si="34"/>
        <v>3.5293075165360319</v>
      </c>
      <c r="AT91">
        <v>4.6711</v>
      </c>
      <c r="AU91" s="11">
        <f t="shared" si="35"/>
        <v>4671100000</v>
      </c>
      <c r="AV91">
        <v>1428728.2613245326</v>
      </c>
      <c r="AW91" s="11">
        <f t="shared" si="36"/>
        <v>1153698071.0195601</v>
      </c>
      <c r="AY91" s="11">
        <f t="shared" si="37"/>
        <v>3.0488062841883741</v>
      </c>
      <c r="AZ91" s="11">
        <f t="shared" si="38"/>
        <v>4.0488062841883741</v>
      </c>
      <c r="BG91">
        <v>3.6048</v>
      </c>
      <c r="BH91" s="11">
        <f t="shared" si="39"/>
        <v>36048000000</v>
      </c>
      <c r="BI91">
        <v>1428728.2613245326</v>
      </c>
      <c r="BJ91" s="11">
        <f t="shared" si="40"/>
        <v>1153698071.0195601</v>
      </c>
      <c r="BL91" s="11">
        <f t="shared" si="41"/>
        <v>31.245610013149474</v>
      </c>
      <c r="BM91" s="11">
        <f t="shared" si="42"/>
        <v>30.245610013149474</v>
      </c>
    </row>
    <row r="92" spans="1:65" x14ac:dyDescent="0.3">
      <c r="A92" t="s">
        <v>47</v>
      </c>
      <c r="B92">
        <v>4.2064000000000004</v>
      </c>
      <c r="C92">
        <f t="shared" si="28"/>
        <v>4206400000.0000005</v>
      </c>
      <c r="D92">
        <v>1472441.7082937697</v>
      </c>
      <c r="E92">
        <f t="shared" si="29"/>
        <v>1188996679.4472191</v>
      </c>
      <c r="H92" s="8">
        <f t="shared" si="30"/>
        <v>2.5377727059386013</v>
      </c>
      <c r="Y92" s="10">
        <v>6.1185999999999998</v>
      </c>
      <c r="Z92" s="11">
        <f t="shared" si="31"/>
        <v>6118600000</v>
      </c>
      <c r="AA92">
        <v>2146921.5583963366</v>
      </c>
      <c r="AB92" s="11">
        <f t="shared" si="32"/>
        <v>1733639158.4050419</v>
      </c>
      <c r="AD92" s="8">
        <f t="shared" si="33"/>
        <v>2.5293388305956053</v>
      </c>
      <c r="AE92" s="8">
        <f t="shared" si="34"/>
        <v>3.5293388305956053</v>
      </c>
      <c r="AT92">
        <v>4.8140999999999998</v>
      </c>
      <c r="AU92" s="11">
        <f t="shared" si="35"/>
        <v>4814100000</v>
      </c>
      <c r="AV92">
        <v>1472441.7082937697</v>
      </c>
      <c r="AW92" s="11">
        <f t="shared" si="36"/>
        <v>1188996679.4472191</v>
      </c>
      <c r="AY92" s="11">
        <f t="shared" si="37"/>
        <v>3.0488758995005281</v>
      </c>
      <c r="AZ92" s="11">
        <f t="shared" si="38"/>
        <v>4.0488758995005281</v>
      </c>
      <c r="BG92">
        <v>3.7151000000000001</v>
      </c>
      <c r="BH92" s="11">
        <f t="shared" si="39"/>
        <v>37151000000</v>
      </c>
      <c r="BI92">
        <v>1472441.7082937697</v>
      </c>
      <c r="BJ92" s="11">
        <f t="shared" si="40"/>
        <v>1188996679.4472191</v>
      </c>
      <c r="BL92" s="11">
        <f t="shared" si="41"/>
        <v>31.245671785451922</v>
      </c>
      <c r="BM92" s="11">
        <f t="shared" si="42"/>
        <v>30.245671785451922</v>
      </c>
    </row>
    <row r="93" spans="1:65" x14ac:dyDescent="0.3">
      <c r="A93" t="s">
        <v>48</v>
      </c>
      <c r="B93">
        <v>4.6005000000000003</v>
      </c>
      <c r="C93">
        <f t="shared" si="28"/>
        <v>4600500000</v>
      </c>
      <c r="D93">
        <v>1610399.6013628424</v>
      </c>
      <c r="E93">
        <f t="shared" si="29"/>
        <v>1300397678.1004951</v>
      </c>
      <c r="H93" s="8">
        <f t="shared" si="30"/>
        <v>2.5377639298156849</v>
      </c>
      <c r="Y93" s="10">
        <v>6.6919000000000004</v>
      </c>
      <c r="Z93" s="11">
        <f t="shared" si="31"/>
        <v>6691900000</v>
      </c>
      <c r="AA93">
        <v>2348073.6808284977</v>
      </c>
      <c r="AB93" s="11">
        <f t="shared" si="32"/>
        <v>1896069497.269012</v>
      </c>
      <c r="AD93" s="8">
        <f t="shared" si="33"/>
        <v>2.5293537550383158</v>
      </c>
      <c r="AE93" s="8">
        <f t="shared" si="34"/>
        <v>3.5293537550383163</v>
      </c>
      <c r="AT93">
        <v>5.2651000000000003</v>
      </c>
      <c r="AU93" s="11">
        <f t="shared" si="35"/>
        <v>5265100000</v>
      </c>
      <c r="AV93">
        <v>1610399.6013628424</v>
      </c>
      <c r="AW93" s="11">
        <f t="shared" si="36"/>
        <v>1300397678.1004951</v>
      </c>
      <c r="AY93" s="11">
        <f t="shared" si="37"/>
        <v>3.048838358194232</v>
      </c>
      <c r="AZ93" s="11">
        <f t="shared" si="38"/>
        <v>4.0488383581942324</v>
      </c>
      <c r="BG93">
        <v>4.0632000000000001</v>
      </c>
      <c r="BH93" s="11">
        <f t="shared" si="39"/>
        <v>40632000000</v>
      </c>
      <c r="BI93">
        <v>1610399.6013628424</v>
      </c>
      <c r="BJ93" s="11">
        <f t="shared" si="40"/>
        <v>1300397678.1004951</v>
      </c>
      <c r="BL93" s="11">
        <f t="shared" si="41"/>
        <v>31.245826322415155</v>
      </c>
      <c r="BM93" s="11">
        <f t="shared" si="42"/>
        <v>30.245826322415155</v>
      </c>
    </row>
    <row r="94" spans="1:65" x14ac:dyDescent="0.3">
      <c r="A94" t="s">
        <v>49</v>
      </c>
      <c r="B94">
        <v>5.28</v>
      </c>
      <c r="C94">
        <f t="shared" si="28"/>
        <v>5280000000</v>
      </c>
      <c r="D94">
        <v>1848254.1298826002</v>
      </c>
      <c r="E94">
        <f t="shared" si="29"/>
        <v>1492465209.8801997</v>
      </c>
      <c r="H94" s="8">
        <f t="shared" si="30"/>
        <v>2.5377709075200663</v>
      </c>
      <c r="Y94" s="10">
        <v>7.6802999999999999</v>
      </c>
      <c r="Z94" s="11">
        <f t="shared" si="31"/>
        <v>7680300000</v>
      </c>
      <c r="AA94">
        <v>2694881.9871708923</v>
      </c>
      <c r="AB94" s="11">
        <f t="shared" si="32"/>
        <v>2176117204.6404953</v>
      </c>
      <c r="AD94" s="8">
        <f t="shared" si="33"/>
        <v>2.5293595324838312</v>
      </c>
      <c r="AE94" s="8">
        <f t="shared" si="34"/>
        <v>3.5293595324838312</v>
      </c>
      <c r="AT94">
        <v>6.0427999999999997</v>
      </c>
      <c r="AU94" s="11">
        <f t="shared" si="35"/>
        <v>6042800000</v>
      </c>
      <c r="AV94">
        <v>1848254.1298826002</v>
      </c>
      <c r="AW94" s="11">
        <f t="shared" si="36"/>
        <v>1492465209.8801997</v>
      </c>
      <c r="AY94" s="11">
        <f t="shared" si="37"/>
        <v>3.0488715984777</v>
      </c>
      <c r="AZ94" s="11">
        <f t="shared" si="38"/>
        <v>4.0488715984777004</v>
      </c>
      <c r="BG94">
        <v>4.6632999999999996</v>
      </c>
      <c r="BH94" s="11">
        <f t="shared" si="39"/>
        <v>46632999999.999992</v>
      </c>
      <c r="BI94">
        <v>1848254.1298826002</v>
      </c>
      <c r="BJ94" s="11">
        <f t="shared" si="40"/>
        <v>1492465209.8801997</v>
      </c>
      <c r="BL94" s="11">
        <f t="shared" si="41"/>
        <v>31.245619456511974</v>
      </c>
      <c r="BM94" s="11">
        <f t="shared" si="42"/>
        <v>30.245619456511971</v>
      </c>
    </row>
    <row r="95" spans="1:65" x14ac:dyDescent="0.3">
      <c r="A95" t="s">
        <v>50</v>
      </c>
      <c r="B95">
        <v>5.5025000000000004</v>
      </c>
      <c r="C95">
        <f t="shared" si="28"/>
        <v>5502500000</v>
      </c>
      <c r="D95">
        <v>1926155.1783752809</v>
      </c>
      <c r="E95">
        <f t="shared" si="29"/>
        <v>1555370306.5380394</v>
      </c>
      <c r="H95" s="8">
        <f t="shared" si="30"/>
        <v>2.5377427335921863</v>
      </c>
      <c r="Y95" s="10">
        <v>8.0039999999999996</v>
      </c>
      <c r="Z95" s="11">
        <f t="shared" si="31"/>
        <v>8004000000</v>
      </c>
      <c r="AA95">
        <v>2808467.0883593238</v>
      </c>
      <c r="AB95" s="11">
        <f t="shared" si="32"/>
        <v>2267837173.8501539</v>
      </c>
      <c r="AD95" s="8">
        <f t="shared" si="33"/>
        <v>2.5293539114236512</v>
      </c>
      <c r="AE95" s="8">
        <f t="shared" si="34"/>
        <v>3.5293539114236512</v>
      </c>
      <c r="AT95">
        <v>6.2975000000000003</v>
      </c>
      <c r="AU95" s="11">
        <f t="shared" si="35"/>
        <v>6297500000</v>
      </c>
      <c r="AV95">
        <v>1926155.1783752809</v>
      </c>
      <c r="AW95" s="11">
        <f t="shared" si="36"/>
        <v>1555370306.5380394</v>
      </c>
      <c r="AY95" s="11">
        <f t="shared" si="37"/>
        <v>3.0488750322211344</v>
      </c>
      <c r="AZ95" s="11">
        <f t="shared" si="38"/>
        <v>4.048875032221134</v>
      </c>
      <c r="BG95">
        <v>4.8597999999999999</v>
      </c>
      <c r="BH95" s="11">
        <f t="shared" si="39"/>
        <v>48598000000</v>
      </c>
      <c r="BI95">
        <v>1926155.1783752809</v>
      </c>
      <c r="BJ95" s="11">
        <f t="shared" si="40"/>
        <v>1555370306.5380394</v>
      </c>
      <c r="BL95" s="11">
        <f t="shared" si="41"/>
        <v>31.245292388389469</v>
      </c>
      <c r="BM95" s="11">
        <f t="shared" si="42"/>
        <v>30.245292388389469</v>
      </c>
    </row>
    <row r="96" spans="1:65" x14ac:dyDescent="0.3">
      <c r="A96" t="s">
        <v>51</v>
      </c>
      <c r="B96">
        <v>4.9600999999999997</v>
      </c>
      <c r="C96">
        <f t="shared" si="28"/>
        <v>4960100000</v>
      </c>
      <c r="D96">
        <v>1736264.4559418138</v>
      </c>
      <c r="E96">
        <f t="shared" si="29"/>
        <v>1402033548.1730146</v>
      </c>
      <c r="H96" s="8">
        <f t="shared" si="30"/>
        <v>2.5377898099966938</v>
      </c>
      <c r="Y96" s="10">
        <v>7.2149000000000001</v>
      </c>
      <c r="Z96" s="11">
        <f t="shared" si="31"/>
        <v>7214900000</v>
      </c>
      <c r="AA96">
        <v>2531593.3191394364</v>
      </c>
      <c r="AB96" s="11">
        <f t="shared" si="32"/>
        <v>2044261605.2050948</v>
      </c>
      <c r="AD96" s="8">
        <f t="shared" si="33"/>
        <v>2.5293428109344887</v>
      </c>
      <c r="AE96" s="8">
        <f t="shared" si="34"/>
        <v>3.5293428109344891</v>
      </c>
      <c r="AT96">
        <v>5.6767000000000003</v>
      </c>
      <c r="AU96" s="11">
        <f t="shared" si="35"/>
        <v>5676700000</v>
      </c>
      <c r="AV96">
        <v>1736264.4559418138</v>
      </c>
      <c r="AW96" s="11">
        <f t="shared" si="36"/>
        <v>1402033548.1730146</v>
      </c>
      <c r="AY96" s="11">
        <f t="shared" si="37"/>
        <v>3.0489045411197822</v>
      </c>
      <c r="AZ96" s="11">
        <f t="shared" si="38"/>
        <v>4.0489045411197822</v>
      </c>
      <c r="BG96">
        <v>4.3807</v>
      </c>
      <c r="BH96" s="11">
        <f t="shared" si="39"/>
        <v>43807000000</v>
      </c>
      <c r="BI96">
        <v>1736264.4559418138</v>
      </c>
      <c r="BJ96" s="11">
        <f t="shared" si="40"/>
        <v>1402033548.1730146</v>
      </c>
      <c r="BL96" s="11">
        <f t="shared" si="41"/>
        <v>31.245329369675041</v>
      </c>
      <c r="BM96" s="11">
        <f t="shared" si="42"/>
        <v>30.245329369675041</v>
      </c>
    </row>
    <row r="97" spans="1:65" x14ac:dyDescent="0.3">
      <c r="A97" t="s">
        <v>52</v>
      </c>
      <c r="B97">
        <v>4.7104999999999997</v>
      </c>
      <c r="C97">
        <f t="shared" si="28"/>
        <v>4710500000</v>
      </c>
      <c r="D97">
        <v>1648908.9414923487</v>
      </c>
      <c r="E97">
        <f t="shared" si="29"/>
        <v>1331493970.2550716</v>
      </c>
      <c r="H97" s="8">
        <f t="shared" si="30"/>
        <v>2.5377554125142745</v>
      </c>
      <c r="Y97" s="10">
        <v>6.8518999999999997</v>
      </c>
      <c r="Z97" s="11">
        <f t="shared" si="31"/>
        <v>6851900000</v>
      </c>
      <c r="AA97">
        <v>2404222.9545538784</v>
      </c>
      <c r="AB97" s="11">
        <f t="shared" si="32"/>
        <v>1941410035.8022568</v>
      </c>
      <c r="AD97" s="8">
        <f t="shared" si="33"/>
        <v>2.5293420110340379</v>
      </c>
      <c r="AE97" s="8">
        <f t="shared" si="34"/>
        <v>3.5293420110340374</v>
      </c>
      <c r="AT97">
        <v>5.391</v>
      </c>
      <c r="AU97" s="11">
        <f t="shared" si="35"/>
        <v>5391000000</v>
      </c>
      <c r="AV97">
        <v>1648908.9414923487</v>
      </c>
      <c r="AW97" s="11">
        <f t="shared" si="36"/>
        <v>1331493970.2550716</v>
      </c>
      <c r="AY97" s="11">
        <f t="shared" si="37"/>
        <v>3.0488354588397097</v>
      </c>
      <c r="AZ97" s="11">
        <f t="shared" si="38"/>
        <v>4.0488354588397097</v>
      </c>
      <c r="BG97">
        <v>4.1603000000000003</v>
      </c>
      <c r="BH97" s="11">
        <f t="shared" si="39"/>
        <v>41603000000</v>
      </c>
      <c r="BI97">
        <v>1648908.9414923487</v>
      </c>
      <c r="BJ97" s="11">
        <f t="shared" si="40"/>
        <v>1331493970.2550716</v>
      </c>
      <c r="BL97" s="11">
        <f t="shared" si="41"/>
        <v>31.245353662420413</v>
      </c>
      <c r="BM97" s="11">
        <f t="shared" si="42"/>
        <v>30.245353662420413</v>
      </c>
    </row>
    <row r="98" spans="1:65" x14ac:dyDescent="0.3">
      <c r="A98" t="s">
        <v>53</v>
      </c>
      <c r="B98">
        <v>4.2706</v>
      </c>
      <c r="C98">
        <f t="shared" si="28"/>
        <v>4270600000</v>
      </c>
      <c r="D98">
        <v>1494905.6675511056</v>
      </c>
      <c r="E98">
        <f t="shared" si="29"/>
        <v>1207136326.5475178</v>
      </c>
      <c r="H98" s="8">
        <f t="shared" si="30"/>
        <v>2.5377942872568271</v>
      </c>
      <c r="Y98" s="10">
        <v>6.2119999999999997</v>
      </c>
      <c r="Z98" s="11">
        <f t="shared" si="31"/>
        <v>6212000000</v>
      </c>
      <c r="AA98">
        <v>2179675.5602321019</v>
      </c>
      <c r="AB98" s="11">
        <f t="shared" si="32"/>
        <v>1760088014.8874223</v>
      </c>
      <c r="AD98" s="8">
        <f t="shared" si="33"/>
        <v>2.5293689562435477</v>
      </c>
      <c r="AE98" s="8">
        <f t="shared" si="34"/>
        <v>3.5293689562435477</v>
      </c>
      <c r="AT98">
        <v>4.8875999999999999</v>
      </c>
      <c r="AU98" s="11">
        <f t="shared" si="35"/>
        <v>4887600000</v>
      </c>
      <c r="AV98">
        <v>1494905.6675511056</v>
      </c>
      <c r="AW98" s="11">
        <f t="shared" si="36"/>
        <v>1207136326.5475178</v>
      </c>
      <c r="AY98" s="11">
        <f t="shared" si="37"/>
        <v>3.048921312788945</v>
      </c>
      <c r="AZ98" s="11">
        <f t="shared" si="38"/>
        <v>4.048921312788945</v>
      </c>
      <c r="BG98">
        <v>3.7717999999999998</v>
      </c>
      <c r="BH98" s="11">
        <f t="shared" si="39"/>
        <v>37718000000</v>
      </c>
      <c r="BI98">
        <v>1494905.6675511056</v>
      </c>
      <c r="BJ98" s="11">
        <f t="shared" si="40"/>
        <v>1207136326.5475178</v>
      </c>
      <c r="BL98" s="11">
        <f t="shared" si="41"/>
        <v>31.245849512188684</v>
      </c>
      <c r="BM98" s="11">
        <f t="shared" si="42"/>
        <v>30.245849512188688</v>
      </c>
    </row>
    <row r="99" spans="1:65" s="1" customFormat="1" x14ac:dyDescent="0.3">
      <c r="A99" s="1" t="s">
        <v>54</v>
      </c>
      <c r="B99" s="1">
        <v>5.0018000000000002</v>
      </c>
      <c r="C99" s="1">
        <f t="shared" si="28"/>
        <v>5001800000</v>
      </c>
      <c r="D99" s="1">
        <v>1750879.716687361</v>
      </c>
      <c r="E99" s="1">
        <f t="shared" si="29"/>
        <v>1413835371.225044</v>
      </c>
      <c r="H99" s="13">
        <f t="shared" si="30"/>
        <v>2.5377527693808486</v>
      </c>
      <c r="Y99" s="15">
        <v>7.2755999999999998</v>
      </c>
      <c r="Z99" s="14">
        <f t="shared" si="31"/>
        <v>7275600000</v>
      </c>
      <c r="AA99" s="1">
        <v>2552903.3772554616</v>
      </c>
      <c r="AB99" s="14">
        <f t="shared" si="32"/>
        <v>2061469477.1337852</v>
      </c>
      <c r="AD99" s="13">
        <f t="shared" si="33"/>
        <v>2.5293270556282064</v>
      </c>
      <c r="AE99" s="13">
        <f t="shared" si="34"/>
        <v>3.5293270556282064</v>
      </c>
      <c r="AT99" s="1">
        <v>5.7244000000000002</v>
      </c>
      <c r="AU99" s="14">
        <f t="shared" si="35"/>
        <v>5724400000</v>
      </c>
      <c r="AV99" s="1">
        <v>1750879.716687361</v>
      </c>
      <c r="AW99" s="14">
        <f t="shared" si="36"/>
        <v>1413835371.225044</v>
      </c>
      <c r="AY99" s="14">
        <f t="shared" si="37"/>
        <v>3.0488448064784137</v>
      </c>
      <c r="AZ99" s="14">
        <f t="shared" si="38"/>
        <v>4.0488448064784137</v>
      </c>
      <c r="BG99" s="1">
        <v>4.4176000000000002</v>
      </c>
      <c r="BH99" s="14">
        <f t="shared" si="39"/>
        <v>44176000000</v>
      </c>
      <c r="BI99" s="1">
        <v>1750879.716687361</v>
      </c>
      <c r="BJ99" s="14">
        <f>BI99*807.5</f>
        <v>1413835371.225044</v>
      </c>
      <c r="BL99" s="14">
        <f t="shared" si="41"/>
        <v>31.245504886274617</v>
      </c>
      <c r="BM99" s="14">
        <f t="shared" si="42"/>
        <v>30.245504886274617</v>
      </c>
    </row>
    <row r="100" spans="1:65" x14ac:dyDescent="0.3">
      <c r="A100" t="s">
        <v>43</v>
      </c>
      <c r="B100">
        <v>4.2805</v>
      </c>
      <c r="C100">
        <f t="shared" ref="C100:C131" si="43">B100*1000000000</f>
        <v>4280500000</v>
      </c>
      <c r="D100">
        <v>1498102.8145276422</v>
      </c>
      <c r="E100">
        <f t="shared" ref="E100:E131" si="44">D100*807.5</f>
        <v>1209718022.731071</v>
      </c>
      <c r="H100" s="8">
        <f t="shared" ref="H100:H131" si="45">(C100-E100)/E100</f>
        <v>2.5384278977147932</v>
      </c>
      <c r="Y100" s="10">
        <v>6.2584</v>
      </c>
      <c r="Z100" s="11">
        <f t="shared" si="31"/>
        <v>6258400000</v>
      </c>
      <c r="AA100">
        <v>2195327.9622618589</v>
      </c>
      <c r="AB100" s="11">
        <f t="shared" si="32"/>
        <v>1772727329.5264511</v>
      </c>
      <c r="AD100" s="8">
        <f t="shared" si="33"/>
        <v>2.5303793740641476</v>
      </c>
      <c r="AE100" s="8">
        <f t="shared" si="34"/>
        <v>3.5303793740641476</v>
      </c>
      <c r="AT100">
        <v>4.8863000000000003</v>
      </c>
      <c r="AU100" s="11">
        <f t="shared" si="35"/>
        <v>4886300000</v>
      </c>
      <c r="AV100">
        <v>1498102.8145276422</v>
      </c>
      <c r="AW100" s="11">
        <f t="shared" si="36"/>
        <v>1209718022.731071</v>
      </c>
      <c r="AY100" s="11">
        <f t="shared" si="37"/>
        <v>3.0392057555434633</v>
      </c>
      <c r="AZ100" s="11">
        <f t="shared" si="38"/>
        <v>4.0392057555434633</v>
      </c>
      <c r="BG100">
        <v>3.8083</v>
      </c>
      <c r="BH100" s="11">
        <f t="shared" si="39"/>
        <v>38083000000</v>
      </c>
      <c r="BI100">
        <v>1498102.8145276422</v>
      </c>
      <c r="BJ100" s="11">
        <f t="shared" si="40"/>
        <v>1209718022.731071</v>
      </c>
      <c r="BL100" s="11">
        <f t="shared" si="41"/>
        <v>31.480889996185603</v>
      </c>
      <c r="BM100" s="11">
        <f t="shared" si="42"/>
        <v>30.480889996185603</v>
      </c>
    </row>
    <row r="101" spans="1:65" x14ac:dyDescent="0.3">
      <c r="A101" t="s">
        <v>44</v>
      </c>
      <c r="B101">
        <v>3.8721999999999999</v>
      </c>
      <c r="C101">
        <f t="shared" si="43"/>
        <v>3872200000</v>
      </c>
      <c r="D101">
        <v>1355207.6394039872</v>
      </c>
      <c r="E101">
        <f t="shared" si="44"/>
        <v>1094330168.8187196</v>
      </c>
      <c r="H101" s="8">
        <f t="shared" si="45"/>
        <v>2.5384202230117316</v>
      </c>
      <c r="Y101" s="10">
        <v>5.6615000000000002</v>
      </c>
      <c r="Z101" s="11">
        <f t="shared" si="31"/>
        <v>5661500000</v>
      </c>
      <c r="AA101">
        <v>1985928.6002293024</v>
      </c>
      <c r="AB101" s="11">
        <f t="shared" si="32"/>
        <v>1603637344.6851616</v>
      </c>
      <c r="AD101" s="8">
        <f t="shared" si="33"/>
        <v>2.5304116724168138</v>
      </c>
      <c r="AE101" s="8">
        <f t="shared" si="34"/>
        <v>3.5304116724168138</v>
      </c>
      <c r="AT101">
        <v>4.4202000000000004</v>
      </c>
      <c r="AU101" s="11">
        <f t="shared" si="35"/>
        <v>4420200000</v>
      </c>
      <c r="AV101">
        <v>1355207.6394039872</v>
      </c>
      <c r="AW101" s="11">
        <f t="shared" si="36"/>
        <v>1094330168.8187196</v>
      </c>
      <c r="AY101" s="11">
        <f t="shared" si="37"/>
        <v>3.0391831697113929</v>
      </c>
      <c r="AZ101" s="11">
        <f t="shared" si="38"/>
        <v>4.0391831697113929</v>
      </c>
      <c r="BG101">
        <v>3.4449999999999998</v>
      </c>
      <c r="BH101" s="11">
        <f t="shared" si="39"/>
        <v>34450000000</v>
      </c>
      <c r="BI101">
        <v>1355207.6394039872</v>
      </c>
      <c r="BJ101" s="11">
        <f t="shared" si="40"/>
        <v>1094330168.8187196</v>
      </c>
      <c r="BL101" s="11">
        <f t="shared" si="41"/>
        <v>31.480444368254265</v>
      </c>
      <c r="BM101" s="11">
        <f t="shared" si="42"/>
        <v>30.480444368254265</v>
      </c>
    </row>
    <row r="102" spans="1:65" x14ac:dyDescent="0.3">
      <c r="A102" t="s">
        <v>45</v>
      </c>
      <c r="B102">
        <v>4.4126000000000003</v>
      </c>
      <c r="C102">
        <f t="shared" si="43"/>
        <v>4412600000</v>
      </c>
      <c r="D102">
        <v>1544348.4637240611</v>
      </c>
      <c r="E102">
        <f t="shared" si="44"/>
        <v>1247061384.4571793</v>
      </c>
      <c r="H102" s="8">
        <f t="shared" si="45"/>
        <v>2.538398394013873</v>
      </c>
      <c r="Y102" s="10">
        <v>6.4516</v>
      </c>
      <c r="Z102" s="11">
        <f t="shared" si="31"/>
        <v>6451600000</v>
      </c>
      <c r="AA102">
        <v>2263096.5865707728</v>
      </c>
      <c r="AB102" s="11">
        <f t="shared" si="32"/>
        <v>1827450493.655899</v>
      </c>
      <c r="AD102" s="8">
        <f t="shared" si="33"/>
        <v>2.5303829145561565</v>
      </c>
      <c r="AE102" s="8">
        <f t="shared" si="34"/>
        <v>3.5303829145561565</v>
      </c>
      <c r="AT102">
        <v>5.0370999999999997</v>
      </c>
      <c r="AU102" s="11">
        <f t="shared" si="35"/>
        <v>5037100000</v>
      </c>
      <c r="AV102">
        <v>1544348.4637240611</v>
      </c>
      <c r="AW102" s="11">
        <f t="shared" si="36"/>
        <v>1247061384.4571793</v>
      </c>
      <c r="AY102" s="11">
        <f t="shared" si="37"/>
        <v>3.0391756675174002</v>
      </c>
      <c r="AZ102" s="11">
        <f t="shared" si="38"/>
        <v>4.0391756675173998</v>
      </c>
      <c r="BG102">
        <v>3.9258999999999999</v>
      </c>
      <c r="BH102" s="11">
        <f t="shared" si="39"/>
        <v>39259000000</v>
      </c>
      <c r="BI102">
        <v>1544348.4637240611</v>
      </c>
      <c r="BJ102" s="11">
        <f t="shared" si="40"/>
        <v>1247061384.4571793</v>
      </c>
      <c r="BL102" s="11">
        <f t="shared" si="41"/>
        <v>31.481208935908679</v>
      </c>
      <c r="BM102" s="11">
        <f t="shared" si="42"/>
        <v>30.481208935908679</v>
      </c>
    </row>
    <row r="103" spans="1:65" x14ac:dyDescent="0.3">
      <c r="A103" t="s">
        <v>46</v>
      </c>
      <c r="B103">
        <v>4.1666999999999996</v>
      </c>
      <c r="C103">
        <f t="shared" si="43"/>
        <v>4166699999.9999995</v>
      </c>
      <c r="D103">
        <v>1458288.1563864194</v>
      </c>
      <c r="E103">
        <f t="shared" si="44"/>
        <v>1177567686.2820337</v>
      </c>
      <c r="H103" s="8">
        <f t="shared" si="45"/>
        <v>2.5383953283871388</v>
      </c>
      <c r="Y103" s="10">
        <v>6.0921000000000003</v>
      </c>
      <c r="Z103" s="11">
        <f t="shared" si="31"/>
        <v>6092100000</v>
      </c>
      <c r="AA103">
        <v>2136983.3470073426</v>
      </c>
      <c r="AB103" s="11">
        <f t="shared" si="32"/>
        <v>1725614052.7084291</v>
      </c>
      <c r="AD103" s="8">
        <f t="shared" si="33"/>
        <v>2.5303954499200874</v>
      </c>
      <c r="AE103" s="8">
        <f t="shared" si="34"/>
        <v>3.5303954499200874</v>
      </c>
      <c r="AT103">
        <v>4.7564000000000002</v>
      </c>
      <c r="AU103" s="11">
        <f t="shared" si="35"/>
        <v>4756400000</v>
      </c>
      <c r="AV103">
        <v>1458288.1563864194</v>
      </c>
      <c r="AW103" s="11">
        <f t="shared" si="36"/>
        <v>1177567686.2820337</v>
      </c>
      <c r="AY103" s="11">
        <f t="shared" si="37"/>
        <v>3.0391733361990512</v>
      </c>
      <c r="AZ103" s="11">
        <f t="shared" si="38"/>
        <v>4.0391733361990516</v>
      </c>
      <c r="BG103">
        <v>3.7071000000000001</v>
      </c>
      <c r="BH103" s="11">
        <f t="shared" si="39"/>
        <v>37071000000</v>
      </c>
      <c r="BI103">
        <v>1458288.1563864194</v>
      </c>
      <c r="BJ103" s="11">
        <f t="shared" si="40"/>
        <v>1177567686.2820337</v>
      </c>
      <c r="BL103" s="11">
        <f t="shared" si="41"/>
        <v>31.480992924530113</v>
      </c>
      <c r="BM103" s="11">
        <f t="shared" si="42"/>
        <v>30.480992924530113</v>
      </c>
    </row>
    <row r="104" spans="1:65" x14ac:dyDescent="0.3">
      <c r="A104" t="s">
        <v>47</v>
      </c>
      <c r="B104">
        <v>4.2942</v>
      </c>
      <c r="C104">
        <f t="shared" si="43"/>
        <v>4294200000</v>
      </c>
      <c r="D104">
        <v>1502906.0194998477</v>
      </c>
      <c r="E104">
        <f t="shared" si="44"/>
        <v>1213596610.7461269</v>
      </c>
      <c r="H104" s="8">
        <f t="shared" si="45"/>
        <v>2.5384080360605972</v>
      </c>
      <c r="Y104" s="10">
        <v>6.2785000000000002</v>
      </c>
      <c r="Z104" s="11">
        <f t="shared" si="31"/>
        <v>6278500000</v>
      </c>
      <c r="AA104">
        <v>2202366.6047913986</v>
      </c>
      <c r="AB104" s="11">
        <f t="shared" si="32"/>
        <v>1778411033.3690543</v>
      </c>
      <c r="AD104" s="8">
        <f t="shared" si="33"/>
        <v>2.5303986998471859</v>
      </c>
      <c r="AE104" s="8">
        <f t="shared" si="34"/>
        <v>3.5303986998471859</v>
      </c>
      <c r="AT104">
        <v>4.9019000000000004</v>
      </c>
      <c r="AU104" s="11">
        <f t="shared" si="35"/>
        <v>4901900000</v>
      </c>
      <c r="AV104">
        <v>1502906.0194998477</v>
      </c>
      <c r="AW104" s="11">
        <f t="shared" si="36"/>
        <v>1213596610.7461269</v>
      </c>
      <c r="AY104" s="11">
        <f t="shared" si="37"/>
        <v>3.0391510297530253</v>
      </c>
      <c r="AZ104" s="11">
        <f t="shared" si="38"/>
        <v>4.0391510297530253</v>
      </c>
      <c r="BG104">
        <v>3.8205</v>
      </c>
      <c r="BH104" s="11">
        <f t="shared" si="39"/>
        <v>38205000000</v>
      </c>
      <c r="BI104">
        <v>1502906.0194998477</v>
      </c>
      <c r="BJ104" s="11">
        <f t="shared" si="40"/>
        <v>1213596610.7461269</v>
      </c>
      <c r="BL104" s="11">
        <f t="shared" si="41"/>
        <v>31.480806440709589</v>
      </c>
      <c r="BM104" s="11">
        <f t="shared" si="42"/>
        <v>30.480806440709593</v>
      </c>
    </row>
    <row r="105" spans="1:65" x14ac:dyDescent="0.3">
      <c r="A105" t="s">
        <v>48</v>
      </c>
      <c r="B105">
        <v>4.6966000000000001</v>
      </c>
      <c r="C105">
        <f t="shared" si="43"/>
        <v>4696600000</v>
      </c>
      <c r="D105">
        <v>1643718.2138048322</v>
      </c>
      <c r="E105">
        <f t="shared" si="44"/>
        <v>1327302457.647402</v>
      </c>
      <c r="H105" s="8">
        <f t="shared" si="45"/>
        <v>2.5384549866083743</v>
      </c>
      <c r="Y105" s="10">
        <v>6.8667999999999996</v>
      </c>
      <c r="Z105" s="11">
        <f t="shared" si="31"/>
        <v>6866800000</v>
      </c>
      <c r="AA105">
        <v>2408713.5554729193</v>
      </c>
      <c r="AB105" s="11">
        <f t="shared" si="32"/>
        <v>1945036196.0443823</v>
      </c>
      <c r="AD105" s="8">
        <f t="shared" si="33"/>
        <v>2.5304227314458223</v>
      </c>
      <c r="AE105" s="8">
        <f t="shared" si="34"/>
        <v>3.5304227314458223</v>
      </c>
      <c r="AT105">
        <v>5.3612000000000002</v>
      </c>
      <c r="AU105" s="11">
        <f t="shared" si="35"/>
        <v>5361200000</v>
      </c>
      <c r="AV105">
        <v>1643718.2138048322</v>
      </c>
      <c r="AW105" s="11">
        <f t="shared" si="36"/>
        <v>1327302457.647402</v>
      </c>
      <c r="AY105" s="11">
        <f t="shared" si="37"/>
        <v>3.0391697981954637</v>
      </c>
      <c r="AZ105" s="11">
        <f t="shared" si="38"/>
        <v>4.0391697981954637</v>
      </c>
      <c r="BG105">
        <v>4.1784999999999997</v>
      </c>
      <c r="BH105" s="11">
        <f t="shared" si="39"/>
        <v>41785000000</v>
      </c>
      <c r="BI105">
        <v>1643718.2138048322</v>
      </c>
      <c r="BJ105" s="11">
        <f t="shared" si="40"/>
        <v>1327302457.647402</v>
      </c>
      <c r="BL105" s="11">
        <f t="shared" si="41"/>
        <v>31.481144150115171</v>
      </c>
      <c r="BM105" s="11">
        <f t="shared" si="42"/>
        <v>30.481144150115171</v>
      </c>
    </row>
    <row r="106" spans="1:65" x14ac:dyDescent="0.3">
      <c r="A106" t="s">
        <v>49</v>
      </c>
      <c r="B106">
        <v>5.3902999999999999</v>
      </c>
      <c r="C106">
        <f t="shared" si="43"/>
        <v>5390300000</v>
      </c>
      <c r="D106">
        <v>1886493.8705008607</v>
      </c>
      <c r="E106">
        <f t="shared" si="44"/>
        <v>1523343800.429445</v>
      </c>
      <c r="H106" s="8">
        <f t="shared" si="45"/>
        <v>2.5384658397404598</v>
      </c>
      <c r="Y106" s="10">
        <v>7.8810000000000002</v>
      </c>
      <c r="Z106" s="11">
        <f t="shared" si="31"/>
        <v>7881000000</v>
      </c>
      <c r="AA106">
        <v>2764478.3150961264</v>
      </c>
      <c r="AB106" s="11">
        <f t="shared" si="32"/>
        <v>2232316239.4401221</v>
      </c>
      <c r="AD106" s="8">
        <f t="shared" si="33"/>
        <v>2.5304137741597938</v>
      </c>
      <c r="AE106" s="8">
        <f t="shared" si="34"/>
        <v>3.5304137741597938</v>
      </c>
      <c r="AT106">
        <v>6.1531000000000002</v>
      </c>
      <c r="AU106" s="11">
        <f t="shared" si="35"/>
        <v>6153100000</v>
      </c>
      <c r="AV106">
        <v>1886493.8705008607</v>
      </c>
      <c r="AW106" s="11">
        <f t="shared" si="36"/>
        <v>1523343800.429445</v>
      </c>
      <c r="AY106" s="11">
        <f t="shared" si="37"/>
        <v>3.0392063815570607</v>
      </c>
      <c r="AZ106" s="11">
        <f t="shared" si="38"/>
        <v>4.0392063815570607</v>
      </c>
      <c r="BG106">
        <v>4.7956000000000003</v>
      </c>
      <c r="BH106" s="11">
        <f t="shared" si="39"/>
        <v>47956000000</v>
      </c>
      <c r="BI106">
        <v>1886493.8705008607</v>
      </c>
      <c r="BJ106" s="11">
        <f t="shared" si="40"/>
        <v>1523343800.429445</v>
      </c>
      <c r="BL106" s="11">
        <f t="shared" si="41"/>
        <v>31.480746491028977</v>
      </c>
      <c r="BM106" s="11">
        <f t="shared" si="42"/>
        <v>30.480746491028981</v>
      </c>
    </row>
    <row r="107" spans="1:65" x14ac:dyDescent="0.3">
      <c r="A107" t="s">
        <v>50</v>
      </c>
      <c r="B107">
        <v>5.6174999999999997</v>
      </c>
      <c r="C107">
        <f t="shared" si="43"/>
        <v>5617500000</v>
      </c>
      <c r="D107">
        <v>1966006.6648244248</v>
      </c>
      <c r="E107">
        <f t="shared" si="44"/>
        <v>1587550381.8457229</v>
      </c>
      <c r="H107" s="8">
        <f t="shared" si="45"/>
        <v>2.5384703781614566</v>
      </c>
      <c r="Y107" s="10">
        <v>8.2132000000000005</v>
      </c>
      <c r="Z107" s="11">
        <f t="shared" si="31"/>
        <v>8213200000.000001</v>
      </c>
      <c r="AA107">
        <v>2880996.7936967653</v>
      </c>
      <c r="AB107" s="11">
        <f t="shared" si="32"/>
        <v>2326404910.9101381</v>
      </c>
      <c r="AD107" s="8">
        <f t="shared" si="33"/>
        <v>2.5304258349363722</v>
      </c>
      <c r="AE107" s="8">
        <f t="shared" si="34"/>
        <v>3.5304258349363722</v>
      </c>
      <c r="AT107">
        <v>6.4123999999999999</v>
      </c>
      <c r="AU107" s="11">
        <f t="shared" si="35"/>
        <v>6412400000</v>
      </c>
      <c r="AV107">
        <v>1966006.6648244248</v>
      </c>
      <c r="AW107" s="11">
        <f t="shared" si="36"/>
        <v>1587550381.8457229</v>
      </c>
      <c r="AY107" s="11">
        <f t="shared" si="37"/>
        <v>3.0391788968264395</v>
      </c>
      <c r="AZ107" s="11">
        <f t="shared" si="38"/>
        <v>4.0391788968264395</v>
      </c>
      <c r="BG107">
        <v>4.9977999999999998</v>
      </c>
      <c r="BH107" s="11">
        <f t="shared" si="39"/>
        <v>49978000000</v>
      </c>
      <c r="BI107">
        <v>1966006.6648244248</v>
      </c>
      <c r="BJ107" s="11">
        <f t="shared" si="40"/>
        <v>1587550381.8457229</v>
      </c>
      <c r="BL107" s="11">
        <f t="shared" si="41"/>
        <v>31.481205618113624</v>
      </c>
      <c r="BM107" s="11">
        <f t="shared" si="42"/>
        <v>30.48120561811362</v>
      </c>
    </row>
    <row r="108" spans="1:65" x14ac:dyDescent="0.3">
      <c r="A108" t="s">
        <v>51</v>
      </c>
      <c r="B108">
        <v>5.0636999999999999</v>
      </c>
      <c r="C108">
        <f t="shared" si="43"/>
        <v>5063700000</v>
      </c>
      <c r="D108">
        <v>1772187.1688233684</v>
      </c>
      <c r="E108">
        <f t="shared" si="44"/>
        <v>1431041138.8248699</v>
      </c>
      <c r="H108" s="8">
        <f t="shared" si="45"/>
        <v>2.5384726983866903</v>
      </c>
      <c r="Y108" s="10">
        <v>7.4035000000000002</v>
      </c>
      <c r="Z108" s="11">
        <f t="shared" si="31"/>
        <v>7403500000</v>
      </c>
      <c r="AA108">
        <v>2596972.6565838661</v>
      </c>
      <c r="AB108" s="11">
        <f t="shared" si="32"/>
        <v>2097055420.1914718</v>
      </c>
      <c r="AD108" s="8">
        <f t="shared" si="33"/>
        <v>2.5304264869280484</v>
      </c>
      <c r="AE108" s="8">
        <f t="shared" si="34"/>
        <v>3.5304264869280484</v>
      </c>
      <c r="AT108">
        <v>5.7803000000000004</v>
      </c>
      <c r="AU108" s="11">
        <f t="shared" si="35"/>
        <v>5780300000</v>
      </c>
      <c r="AV108">
        <v>1772187.1688233684</v>
      </c>
      <c r="AW108" s="11">
        <f t="shared" si="36"/>
        <v>1431041138.8248699</v>
      </c>
      <c r="AY108" s="11">
        <f t="shared" si="37"/>
        <v>3.0392269957707976</v>
      </c>
      <c r="AZ108" s="11">
        <f t="shared" si="38"/>
        <v>4.0392269957707976</v>
      </c>
      <c r="BG108">
        <v>4.5050999999999997</v>
      </c>
      <c r="BH108" s="11">
        <f t="shared" si="39"/>
        <v>45051000000</v>
      </c>
      <c r="BI108">
        <v>1772187.1688233684</v>
      </c>
      <c r="BJ108" s="11">
        <f t="shared" si="40"/>
        <v>1431041138.8248699</v>
      </c>
      <c r="BL108" s="11">
        <f t="shared" si="41"/>
        <v>31.481275260188951</v>
      </c>
      <c r="BM108" s="11">
        <f t="shared" si="42"/>
        <v>30.481275260188955</v>
      </c>
    </row>
    <row r="109" spans="1:65" x14ac:dyDescent="0.3">
      <c r="A109" t="s">
        <v>52</v>
      </c>
      <c r="B109">
        <v>4.8089000000000004</v>
      </c>
      <c r="C109">
        <f t="shared" si="43"/>
        <v>4808900000</v>
      </c>
      <c r="D109">
        <v>1683024.2989025351</v>
      </c>
      <c r="E109">
        <f t="shared" si="44"/>
        <v>1359042121.3637972</v>
      </c>
      <c r="H109" s="8">
        <f t="shared" si="45"/>
        <v>2.5384480910527443</v>
      </c>
      <c r="Y109" s="10">
        <v>7.0309999999999997</v>
      </c>
      <c r="Z109" s="11">
        <f t="shared" si="31"/>
        <v>7031000000</v>
      </c>
      <c r="AA109">
        <v>2466312.9050404178</v>
      </c>
      <c r="AB109" s="11">
        <f t="shared" si="32"/>
        <v>1991547670.8201373</v>
      </c>
      <c r="AD109" s="8">
        <f t="shared" si="33"/>
        <v>2.5304201365687478</v>
      </c>
      <c r="AE109" s="8">
        <f t="shared" si="34"/>
        <v>3.5304201365687473</v>
      </c>
      <c r="AT109">
        <v>5.4893999999999998</v>
      </c>
      <c r="AU109" s="11">
        <f t="shared" si="35"/>
        <v>5489400000</v>
      </c>
      <c r="AV109">
        <v>1683024.2989025351</v>
      </c>
      <c r="AW109" s="11">
        <f t="shared" si="36"/>
        <v>1359042121.3637972</v>
      </c>
      <c r="AY109" s="11">
        <f t="shared" si="37"/>
        <v>3.0391684067094209</v>
      </c>
      <c r="AZ109" s="11">
        <f t="shared" si="38"/>
        <v>4.0391684067094209</v>
      </c>
      <c r="BG109">
        <v>4.2784000000000004</v>
      </c>
      <c r="BH109" s="11">
        <f t="shared" si="39"/>
        <v>42784000000.000008</v>
      </c>
      <c r="BI109">
        <v>1683024.2989025351</v>
      </c>
      <c r="BJ109" s="11">
        <f t="shared" si="40"/>
        <v>1359042121.3637972</v>
      </c>
      <c r="BL109" s="11">
        <f t="shared" si="41"/>
        <v>31.480996304269301</v>
      </c>
      <c r="BM109" s="11">
        <f t="shared" si="42"/>
        <v>30.480996304269297</v>
      </c>
    </row>
    <row r="110" spans="1:65" x14ac:dyDescent="0.3">
      <c r="A110" t="s">
        <v>53</v>
      </c>
      <c r="B110">
        <v>4.3597999999999999</v>
      </c>
      <c r="C110">
        <f t="shared" si="43"/>
        <v>4359800000</v>
      </c>
      <c r="D110">
        <v>1525834.7503280251</v>
      </c>
      <c r="E110">
        <f t="shared" si="44"/>
        <v>1232111560.8898802</v>
      </c>
      <c r="H110" s="8">
        <f t="shared" si="45"/>
        <v>2.5384782826412069</v>
      </c>
      <c r="Y110" s="10">
        <v>6.3742999999999999</v>
      </c>
      <c r="Z110" s="11">
        <f t="shared" si="31"/>
        <v>6374300000</v>
      </c>
      <c r="AA110">
        <v>2235966.4908860954</v>
      </c>
      <c r="AB110" s="11">
        <f t="shared" si="32"/>
        <v>1805542941.390522</v>
      </c>
      <c r="AD110" s="8">
        <f t="shared" si="33"/>
        <v>2.5304062029623577</v>
      </c>
      <c r="AE110" s="8">
        <f t="shared" si="34"/>
        <v>3.5304062029623577</v>
      </c>
      <c r="AT110">
        <v>4.9767999999999999</v>
      </c>
      <c r="AU110" s="11">
        <f t="shared" si="35"/>
        <v>4976800000</v>
      </c>
      <c r="AV110">
        <v>1525834.7503280251</v>
      </c>
      <c r="AW110" s="11">
        <f t="shared" si="36"/>
        <v>1232111560.8898802</v>
      </c>
      <c r="AY110" s="11">
        <f t="shared" si="37"/>
        <v>3.0392446252233491</v>
      </c>
      <c r="AZ110" s="11">
        <f t="shared" si="38"/>
        <v>4.0392446252233496</v>
      </c>
      <c r="BG110">
        <v>3.8788</v>
      </c>
      <c r="BH110" s="11">
        <f t="shared" si="39"/>
        <v>38788000000</v>
      </c>
      <c r="BI110">
        <v>1525834.7503280251</v>
      </c>
      <c r="BJ110" s="11">
        <f t="shared" si="40"/>
        <v>1232111560.8898802</v>
      </c>
      <c r="BL110" s="11">
        <f t="shared" si="41"/>
        <v>31.480915552797637</v>
      </c>
      <c r="BM110" s="11">
        <f t="shared" si="42"/>
        <v>30.480915552797637</v>
      </c>
    </row>
    <row r="111" spans="1:65" s="1" customFormat="1" x14ac:dyDescent="0.3">
      <c r="A111" s="1" t="s">
        <v>54</v>
      </c>
      <c r="B111" s="1">
        <v>5.1063000000000001</v>
      </c>
      <c r="C111" s="1">
        <f t="shared" si="43"/>
        <v>5106300000</v>
      </c>
      <c r="D111" s="1">
        <v>1787104.814273996</v>
      </c>
      <c r="E111" s="1">
        <f t="shared" si="44"/>
        <v>1443087137.5262518</v>
      </c>
      <c r="H111" s="13">
        <f t="shared" si="45"/>
        <v>2.5384557641843086</v>
      </c>
      <c r="Y111" s="15">
        <v>7.4657999999999998</v>
      </c>
      <c r="Z111" s="14">
        <f t="shared" si="31"/>
        <v>7465800000</v>
      </c>
      <c r="AA111" s="1">
        <v>2618833.0548631372</v>
      </c>
      <c r="AB111" s="14">
        <f t="shared" si="32"/>
        <v>2114707691.8019834</v>
      </c>
      <c r="AD111" s="13">
        <f t="shared" si="33"/>
        <v>2.5304170070135075</v>
      </c>
      <c r="AE111" s="13">
        <f t="shared" si="34"/>
        <v>3.530417007013507</v>
      </c>
      <c r="AT111" s="1">
        <v>5.8289</v>
      </c>
      <c r="AU111" s="14">
        <f t="shared" si="35"/>
        <v>5828900000</v>
      </c>
      <c r="AV111" s="1">
        <v>1787104.814273996</v>
      </c>
      <c r="AW111" s="14">
        <f t="shared" si="36"/>
        <v>1443087137.5262518</v>
      </c>
      <c r="AY111" s="14">
        <f t="shared" si="37"/>
        <v>3.0391878275569235</v>
      </c>
      <c r="AZ111" s="14">
        <f t="shared" si="38"/>
        <v>4.0391878275569235</v>
      </c>
      <c r="BG111" s="1">
        <v>4.5430000000000001</v>
      </c>
      <c r="BH111" s="14">
        <f t="shared" si="39"/>
        <v>45430000000</v>
      </c>
      <c r="BI111" s="1">
        <v>1787104.814273996</v>
      </c>
      <c r="BJ111" s="14">
        <f t="shared" si="40"/>
        <v>1443087137.5262518</v>
      </c>
      <c r="BL111" s="14">
        <f t="shared" si="41"/>
        <v>31.481120452557263</v>
      </c>
      <c r="BM111" s="14">
        <f t="shared" si="42"/>
        <v>30.48112045255726</v>
      </c>
    </row>
    <row r="112" spans="1:65" x14ac:dyDescent="0.3">
      <c r="A112" t="s">
        <v>43</v>
      </c>
      <c r="B112">
        <v>4.3681000000000001</v>
      </c>
      <c r="C112">
        <f t="shared" si="43"/>
        <v>4368100000</v>
      </c>
      <c r="D112">
        <v>1528469.7634707701</v>
      </c>
      <c r="E112">
        <f t="shared" si="44"/>
        <v>1234239334.0026469</v>
      </c>
      <c r="H112" s="8">
        <f t="shared" si="45"/>
        <v>2.5391028949257519</v>
      </c>
      <c r="Y112" s="10">
        <v>6.4177999999999997</v>
      </c>
      <c r="Z112" s="11">
        <f t="shared" si="31"/>
        <v>6417800000</v>
      </c>
      <c r="AA112">
        <v>2250595.8093383512</v>
      </c>
      <c r="AB112" s="11">
        <f t="shared" si="32"/>
        <v>1817356116.0407186</v>
      </c>
      <c r="AD112" s="8">
        <f t="shared" si="33"/>
        <v>2.5313937336518184</v>
      </c>
      <c r="AE112" s="8">
        <f t="shared" si="34"/>
        <v>3.531393733651818</v>
      </c>
      <c r="AT112">
        <v>4.9737999999999998</v>
      </c>
      <c r="AU112" s="11">
        <f t="shared" si="35"/>
        <v>4973800000</v>
      </c>
      <c r="AV112">
        <v>1528469.7634707701</v>
      </c>
      <c r="AW112" s="11">
        <f t="shared" si="36"/>
        <v>1234239334.0026469</v>
      </c>
      <c r="AY112" s="11">
        <f t="shared" si="37"/>
        <v>3.0298505022279034</v>
      </c>
      <c r="AZ112" s="11">
        <f t="shared" si="38"/>
        <v>4.0298505022279034</v>
      </c>
      <c r="BG112">
        <v>3.9134000000000002</v>
      </c>
      <c r="BH112" s="11">
        <f t="shared" si="39"/>
        <v>39134000000</v>
      </c>
      <c r="BI112">
        <v>1528469.7634707701</v>
      </c>
      <c r="BJ112" s="11">
        <f t="shared" si="40"/>
        <v>1234239334.0026469</v>
      </c>
      <c r="BL112" s="11">
        <f t="shared" si="41"/>
        <v>31.706978478062403</v>
      </c>
      <c r="BM112" s="11">
        <f t="shared" si="42"/>
        <v>30.706978478062403</v>
      </c>
    </row>
    <row r="113" spans="1:65" x14ac:dyDescent="0.3">
      <c r="A113" t="s">
        <v>44</v>
      </c>
      <c r="B113">
        <v>3.9514</v>
      </c>
      <c r="C113">
        <f t="shared" si="43"/>
        <v>3951400000</v>
      </c>
      <c r="D113">
        <v>1382678.0645270408</v>
      </c>
      <c r="E113">
        <f t="shared" si="44"/>
        <v>1116512537.1055856</v>
      </c>
      <c r="H113" s="8">
        <f t="shared" si="45"/>
        <v>2.5390556475465056</v>
      </c>
      <c r="Y113" s="10">
        <v>5.8056999999999999</v>
      </c>
      <c r="Z113" s="11">
        <f t="shared" si="31"/>
        <v>5805700000</v>
      </c>
      <c r="AA113">
        <v>2035924.7739532602</v>
      </c>
      <c r="AB113" s="11">
        <f t="shared" si="32"/>
        <v>1644009254.9672575</v>
      </c>
      <c r="AD113" s="8">
        <f t="shared" si="33"/>
        <v>2.5314278082428605</v>
      </c>
      <c r="AE113" s="8">
        <f t="shared" si="34"/>
        <v>3.5314278082428605</v>
      </c>
      <c r="AT113">
        <v>4.4993999999999996</v>
      </c>
      <c r="AU113" s="11">
        <f t="shared" si="35"/>
        <v>4499400000</v>
      </c>
      <c r="AV113">
        <v>1382678.0645270408</v>
      </c>
      <c r="AW113" s="11">
        <f t="shared" si="36"/>
        <v>1116512537.1055856</v>
      </c>
      <c r="AY113" s="11">
        <f t="shared" si="37"/>
        <v>3.0298696615302796</v>
      </c>
      <c r="AZ113" s="11">
        <f t="shared" si="38"/>
        <v>4.02986966153028</v>
      </c>
      <c r="BG113">
        <v>3.5400999999999998</v>
      </c>
      <c r="BH113" s="11">
        <f t="shared" si="39"/>
        <v>35401000000</v>
      </c>
      <c r="BI113">
        <v>1382678.0645270408</v>
      </c>
      <c r="BJ113" s="11">
        <f t="shared" si="40"/>
        <v>1116512537.1055856</v>
      </c>
      <c r="BL113" s="11">
        <f t="shared" si="41"/>
        <v>31.706764432553992</v>
      </c>
      <c r="BM113" s="11">
        <f t="shared" si="42"/>
        <v>30.706764432553992</v>
      </c>
    </row>
    <row r="114" spans="1:65" x14ac:dyDescent="0.3">
      <c r="A114" t="s">
        <v>45</v>
      </c>
      <c r="B114">
        <v>4.5029000000000003</v>
      </c>
      <c r="C114">
        <f t="shared" si="43"/>
        <v>4502900000</v>
      </c>
      <c r="D114">
        <v>1575652.8244752244</v>
      </c>
      <c r="E114">
        <f t="shared" si="44"/>
        <v>1272339655.7637436</v>
      </c>
      <c r="H114" s="8">
        <f t="shared" si="45"/>
        <v>2.5390707030168431</v>
      </c>
      <c r="Y114" s="10">
        <v>6.6159999999999997</v>
      </c>
      <c r="Z114" s="11">
        <f t="shared" si="31"/>
        <v>6616000000</v>
      </c>
      <c r="AA114">
        <v>2320070.5231378903</v>
      </c>
      <c r="AB114" s="11">
        <f t="shared" si="32"/>
        <v>1873456947.4338465</v>
      </c>
      <c r="AD114" s="8">
        <f t="shared" si="33"/>
        <v>2.531439571676422</v>
      </c>
      <c r="AE114" s="8">
        <f t="shared" si="34"/>
        <v>3.531439571676422</v>
      </c>
      <c r="AT114">
        <v>5.1273999999999997</v>
      </c>
      <c r="AU114" s="11">
        <f t="shared" si="35"/>
        <v>5127400000</v>
      </c>
      <c r="AV114">
        <v>1575652.8244752244</v>
      </c>
      <c r="AW114" s="11">
        <f t="shared" si="36"/>
        <v>1272339655.7637436</v>
      </c>
      <c r="AY114" s="11">
        <f t="shared" si="37"/>
        <v>3.0298987591659956</v>
      </c>
      <c r="AZ114" s="11">
        <f t="shared" si="38"/>
        <v>4.0298987591659952</v>
      </c>
      <c r="BG114">
        <v>4.0342000000000002</v>
      </c>
      <c r="BH114" s="11">
        <f t="shared" si="39"/>
        <v>40342000000</v>
      </c>
      <c r="BI114">
        <v>1575652.8244752244</v>
      </c>
      <c r="BJ114" s="11">
        <f t="shared" si="40"/>
        <v>1272339655.7637436</v>
      </c>
      <c r="BL114" s="11">
        <f t="shared" si="41"/>
        <v>31.706942259678314</v>
      </c>
      <c r="BM114" s="11">
        <f t="shared" si="42"/>
        <v>30.706942259678314</v>
      </c>
    </row>
    <row r="115" spans="1:65" x14ac:dyDescent="0.3">
      <c r="A115" t="s">
        <v>46</v>
      </c>
      <c r="B115">
        <v>4.2519999999999998</v>
      </c>
      <c r="C115">
        <f t="shared" si="43"/>
        <v>4252000000</v>
      </c>
      <c r="D115">
        <v>1487848.0514483063</v>
      </c>
      <c r="E115">
        <f t="shared" si="44"/>
        <v>1201437301.5445073</v>
      </c>
      <c r="H115" s="8">
        <f t="shared" si="45"/>
        <v>2.5390943784863707</v>
      </c>
      <c r="Y115" s="10">
        <v>6.2472000000000003</v>
      </c>
      <c r="Z115" s="11">
        <f t="shared" si="31"/>
        <v>6247200000</v>
      </c>
      <c r="AA115">
        <v>2190782.3560199765</v>
      </c>
      <c r="AB115" s="11">
        <f t="shared" si="32"/>
        <v>1769056752.486131</v>
      </c>
      <c r="AD115" s="8">
        <f t="shared" si="33"/>
        <v>2.5313734232779947</v>
      </c>
      <c r="AE115" s="8">
        <f t="shared" si="34"/>
        <v>3.5313734232779943</v>
      </c>
      <c r="AT115">
        <v>4.8415999999999997</v>
      </c>
      <c r="AU115" s="11">
        <f t="shared" si="35"/>
        <v>4841600000</v>
      </c>
      <c r="AV115">
        <v>1487848.0514483063</v>
      </c>
      <c r="AW115" s="11">
        <f t="shared" si="36"/>
        <v>1201437301.5445073</v>
      </c>
      <c r="AY115" s="11">
        <f t="shared" si="37"/>
        <v>3.0298399207148665</v>
      </c>
      <c r="AZ115" s="11">
        <f t="shared" si="38"/>
        <v>4.0298399207148661</v>
      </c>
      <c r="BG115">
        <v>3.8094000000000001</v>
      </c>
      <c r="BH115" s="11">
        <f t="shared" si="39"/>
        <v>38094000000</v>
      </c>
      <c r="BI115">
        <v>1487848.0514483063</v>
      </c>
      <c r="BJ115" s="11">
        <f t="shared" si="40"/>
        <v>1201437301.5445073</v>
      </c>
      <c r="BL115" s="11">
        <f t="shared" si="41"/>
        <v>31.707022872544638</v>
      </c>
      <c r="BM115" s="11">
        <f t="shared" si="42"/>
        <v>30.707022872544634</v>
      </c>
    </row>
    <row r="116" spans="1:65" x14ac:dyDescent="0.3">
      <c r="A116" t="s">
        <v>47</v>
      </c>
      <c r="B116">
        <v>4.3821000000000003</v>
      </c>
      <c r="C116">
        <f t="shared" si="43"/>
        <v>4382100000</v>
      </c>
      <c r="D116">
        <v>1533370.3307059256</v>
      </c>
      <c r="E116">
        <f t="shared" si="44"/>
        <v>1238196542.0450349</v>
      </c>
      <c r="H116" s="8">
        <f t="shared" si="45"/>
        <v>2.5390988838996589</v>
      </c>
      <c r="Y116" s="10">
        <v>6.4383999999999997</v>
      </c>
      <c r="Z116" s="11">
        <f t="shared" si="31"/>
        <v>6438400000</v>
      </c>
      <c r="AA116">
        <v>2257811.6511864606</v>
      </c>
      <c r="AB116" s="11">
        <f t="shared" si="32"/>
        <v>1823182908.3330669</v>
      </c>
      <c r="AD116" s="8">
        <f t="shared" si="33"/>
        <v>2.5314065147125686</v>
      </c>
      <c r="AE116" s="8">
        <f t="shared" si="34"/>
        <v>3.5314065147125686</v>
      </c>
      <c r="AT116">
        <v>4.9897999999999998</v>
      </c>
      <c r="AU116" s="11">
        <f t="shared" si="35"/>
        <v>4989800000</v>
      </c>
      <c r="AV116">
        <v>1533370.3307059256</v>
      </c>
      <c r="AW116" s="11">
        <f t="shared" si="36"/>
        <v>1238196542.0450349</v>
      </c>
      <c r="AY116" s="11">
        <f t="shared" si="37"/>
        <v>3.0298933412935618</v>
      </c>
      <c r="AZ116" s="11">
        <f t="shared" si="38"/>
        <v>4.0298933412935618</v>
      </c>
      <c r="BG116">
        <v>3.9258999999999999</v>
      </c>
      <c r="BH116" s="11">
        <f t="shared" si="39"/>
        <v>39259000000</v>
      </c>
      <c r="BI116">
        <v>1533370.3307059256</v>
      </c>
      <c r="BJ116" s="11">
        <f t="shared" si="40"/>
        <v>1238196542.0450349</v>
      </c>
      <c r="BL116" s="11">
        <f t="shared" si="41"/>
        <v>31.706597997082838</v>
      </c>
      <c r="BM116" s="11">
        <f t="shared" si="42"/>
        <v>30.706597997082838</v>
      </c>
    </row>
    <row r="117" spans="1:65" x14ac:dyDescent="0.3">
      <c r="A117" t="s">
        <v>48</v>
      </c>
      <c r="B117">
        <v>4.7927</v>
      </c>
      <c r="C117">
        <f t="shared" si="43"/>
        <v>4792700000</v>
      </c>
      <c r="D117">
        <v>1677036.826246822</v>
      </c>
      <c r="E117">
        <f t="shared" si="44"/>
        <v>1354207237.1943088</v>
      </c>
      <c r="H117" s="8">
        <f t="shared" si="45"/>
        <v>2.5391185841907582</v>
      </c>
      <c r="Y117" s="10">
        <v>7.0416999999999996</v>
      </c>
      <c r="Z117" s="11">
        <f t="shared" si="31"/>
        <v>7041700000</v>
      </c>
      <c r="AA117">
        <v>2469353.4301173408</v>
      </c>
      <c r="AB117" s="11">
        <f t="shared" si="32"/>
        <v>1994002894.8197527</v>
      </c>
      <c r="AD117" s="8">
        <f t="shared" si="33"/>
        <v>2.5314392061785509</v>
      </c>
      <c r="AE117" s="8">
        <f t="shared" si="34"/>
        <v>3.5314392061785509</v>
      </c>
      <c r="AT117">
        <v>5.4573</v>
      </c>
      <c r="AU117" s="11">
        <f t="shared" si="35"/>
        <v>5457300000</v>
      </c>
      <c r="AV117">
        <v>1677036.826246822</v>
      </c>
      <c r="AW117" s="11">
        <f t="shared" si="36"/>
        <v>1354207237.1943088</v>
      </c>
      <c r="AY117" s="11">
        <f t="shared" si="37"/>
        <v>3.0298854193887004</v>
      </c>
      <c r="AZ117" s="11">
        <f t="shared" si="38"/>
        <v>4.0298854193886999</v>
      </c>
      <c r="BG117">
        <v>4.2938000000000001</v>
      </c>
      <c r="BH117" s="11">
        <f t="shared" si="39"/>
        <v>42938000000</v>
      </c>
      <c r="BI117">
        <v>1677036.826246822</v>
      </c>
      <c r="BJ117" s="11">
        <f t="shared" si="40"/>
        <v>1354207237.1943088</v>
      </c>
      <c r="BL117" s="11">
        <f t="shared" si="41"/>
        <v>31.707111600555589</v>
      </c>
      <c r="BM117" s="11">
        <f t="shared" si="42"/>
        <v>30.707111600555592</v>
      </c>
    </row>
    <row r="118" spans="1:65" x14ac:dyDescent="0.3">
      <c r="A118" t="s">
        <v>49</v>
      </c>
      <c r="B118">
        <v>5.5006000000000004</v>
      </c>
      <c r="C118">
        <f t="shared" si="43"/>
        <v>5500600000</v>
      </c>
      <c r="D118">
        <v>1924733.6111191215</v>
      </c>
      <c r="E118">
        <f t="shared" si="44"/>
        <v>1554222390.9786906</v>
      </c>
      <c r="H118" s="8">
        <f t="shared" si="45"/>
        <v>2.539133158760043</v>
      </c>
      <c r="Y118" s="10">
        <v>8.0816999999999997</v>
      </c>
      <c r="Z118" s="11">
        <f t="shared" si="31"/>
        <v>8081700000</v>
      </c>
      <c r="AA118">
        <v>2834074.643021361</v>
      </c>
      <c r="AB118" s="11">
        <f t="shared" si="32"/>
        <v>2288515274.239749</v>
      </c>
      <c r="AD118" s="8">
        <f t="shared" si="33"/>
        <v>2.5314162378421368</v>
      </c>
      <c r="AE118" s="8">
        <f t="shared" si="34"/>
        <v>3.5314162378421368</v>
      </c>
      <c r="AT118">
        <v>6.2633999999999999</v>
      </c>
      <c r="AU118" s="11">
        <f t="shared" si="35"/>
        <v>6263400000</v>
      </c>
      <c r="AV118">
        <v>1924733.6111191215</v>
      </c>
      <c r="AW118" s="11">
        <f t="shared" si="36"/>
        <v>1554222390.9786906</v>
      </c>
      <c r="AY118" s="11">
        <f t="shared" si="37"/>
        <v>3.0299252129908831</v>
      </c>
      <c r="AZ118" s="11">
        <f t="shared" si="38"/>
        <v>4.0299252129908831</v>
      </c>
      <c r="BG118">
        <v>4.9279999999999999</v>
      </c>
      <c r="BH118" s="11">
        <f t="shared" si="39"/>
        <v>49280000000</v>
      </c>
      <c r="BI118">
        <v>1924733.6111191215</v>
      </c>
      <c r="BJ118" s="11">
        <f t="shared" si="40"/>
        <v>1554222390.9786906</v>
      </c>
      <c r="BL118" s="11">
        <f t="shared" si="41"/>
        <v>31.707174138038564</v>
      </c>
      <c r="BM118" s="11">
        <f t="shared" si="42"/>
        <v>30.707174138038564</v>
      </c>
    </row>
    <row r="119" spans="1:65" x14ac:dyDescent="0.3">
      <c r="A119" t="s">
        <v>50</v>
      </c>
      <c r="B119">
        <v>5.7324000000000002</v>
      </c>
      <c r="C119">
        <f t="shared" si="43"/>
        <v>5732400000</v>
      </c>
      <c r="D119">
        <v>2005858.1512735684</v>
      </c>
      <c r="E119">
        <f t="shared" si="44"/>
        <v>1619730457.1534064</v>
      </c>
      <c r="H119" s="8">
        <f t="shared" si="45"/>
        <v>2.5391073710340675</v>
      </c>
      <c r="Y119" s="10">
        <v>8.4223999999999997</v>
      </c>
      <c r="Z119" s="11">
        <f t="shared" si="31"/>
        <v>8422400000</v>
      </c>
      <c r="AA119">
        <v>2953526.4990342068</v>
      </c>
      <c r="AB119" s="11">
        <f t="shared" si="32"/>
        <v>2384972647.9701219</v>
      </c>
      <c r="AD119" s="8">
        <f t="shared" si="33"/>
        <v>2.5314451120302799</v>
      </c>
      <c r="AE119" s="8">
        <f t="shared" si="34"/>
        <v>3.5314451120302799</v>
      </c>
      <c r="AT119">
        <v>6.5274000000000001</v>
      </c>
      <c r="AU119" s="11">
        <f t="shared" si="35"/>
        <v>6527400000</v>
      </c>
      <c r="AV119">
        <v>2005858.1512735684</v>
      </c>
      <c r="AW119" s="11">
        <f t="shared" si="36"/>
        <v>1619730457.1534064</v>
      </c>
      <c r="AY119" s="11">
        <f t="shared" si="37"/>
        <v>3.0299297770022631</v>
      </c>
      <c r="AZ119" s="11">
        <f t="shared" si="38"/>
        <v>4.0299297770022626</v>
      </c>
      <c r="BG119">
        <v>5.1356999999999999</v>
      </c>
      <c r="BH119" s="11">
        <f t="shared" si="39"/>
        <v>51357000000</v>
      </c>
      <c r="BI119">
        <v>2005858.1512735684</v>
      </c>
      <c r="BJ119" s="11">
        <f t="shared" si="40"/>
        <v>1619730457.1534064</v>
      </c>
      <c r="BL119" s="11">
        <f t="shared" si="41"/>
        <v>31.707127425545426</v>
      </c>
      <c r="BM119" s="11">
        <f t="shared" si="42"/>
        <v>30.707127425545426</v>
      </c>
    </row>
    <row r="120" spans="1:65" x14ac:dyDescent="0.3">
      <c r="A120" t="s">
        <v>51</v>
      </c>
      <c r="B120">
        <v>5.1673</v>
      </c>
      <c r="C120">
        <f t="shared" si="43"/>
        <v>5167300000</v>
      </c>
      <c r="D120">
        <v>1808109.8817049232</v>
      </c>
      <c r="E120">
        <f t="shared" si="44"/>
        <v>1460048729.4767256</v>
      </c>
      <c r="H120" s="8">
        <f t="shared" si="45"/>
        <v>2.539128452138673</v>
      </c>
      <c r="Y120" s="10">
        <v>7.5919999999999996</v>
      </c>
      <c r="Z120" s="11">
        <f t="shared" si="31"/>
        <v>7592000000</v>
      </c>
      <c r="AA120">
        <v>2662351.9940282959</v>
      </c>
      <c r="AB120" s="11">
        <f t="shared" si="32"/>
        <v>2149849235.1778488</v>
      </c>
      <c r="AD120" s="8">
        <f t="shared" si="33"/>
        <v>2.5314104244021292</v>
      </c>
      <c r="AE120" s="8">
        <f t="shared" si="34"/>
        <v>3.5314104244021292</v>
      </c>
      <c r="AT120">
        <v>5.8838999999999997</v>
      </c>
      <c r="AU120" s="11">
        <f t="shared" si="35"/>
        <v>5883900000</v>
      </c>
      <c r="AV120">
        <v>1808109.8817049232</v>
      </c>
      <c r="AW120" s="11">
        <f t="shared" si="36"/>
        <v>1460048729.4767256</v>
      </c>
      <c r="AY120" s="11">
        <f t="shared" si="37"/>
        <v>3.0299339886475991</v>
      </c>
      <c r="AZ120" s="11">
        <f t="shared" si="38"/>
        <v>4.0299339886475991</v>
      </c>
      <c r="BG120">
        <v>4.6294000000000004</v>
      </c>
      <c r="BH120" s="11">
        <f t="shared" si="39"/>
        <v>46294000000.000008</v>
      </c>
      <c r="BI120">
        <v>1808109.8817049232</v>
      </c>
      <c r="BJ120" s="11">
        <f t="shared" si="40"/>
        <v>1460048729.4767256</v>
      </c>
      <c r="BL120" s="11">
        <f t="shared" si="41"/>
        <v>31.707160908657858</v>
      </c>
      <c r="BM120" s="11">
        <f t="shared" si="42"/>
        <v>30.707160908657862</v>
      </c>
    </row>
    <row r="121" spans="1:65" x14ac:dyDescent="0.3">
      <c r="A121" t="s">
        <v>52</v>
      </c>
      <c r="B121">
        <v>4.9073000000000002</v>
      </c>
      <c r="C121">
        <f t="shared" si="43"/>
        <v>4907300000</v>
      </c>
      <c r="D121">
        <v>1717139.6563127215</v>
      </c>
      <c r="E121">
        <f t="shared" si="44"/>
        <v>1386590272.4725227</v>
      </c>
      <c r="H121" s="8">
        <f t="shared" si="45"/>
        <v>2.5391132459406789</v>
      </c>
      <c r="Y121" s="10">
        <v>7.2100999999999997</v>
      </c>
      <c r="Z121" s="11">
        <f t="shared" si="31"/>
        <v>7210100000</v>
      </c>
      <c r="AA121">
        <v>2528402.8555269572</v>
      </c>
      <c r="AB121" s="11">
        <f t="shared" si="32"/>
        <v>2041685305.8380179</v>
      </c>
      <c r="AD121" s="8">
        <f t="shared" si="33"/>
        <v>2.5314453110787243</v>
      </c>
      <c r="AE121" s="8">
        <f t="shared" si="34"/>
        <v>3.5314453110787243</v>
      </c>
      <c r="AT121">
        <v>5.5877999999999997</v>
      </c>
      <c r="AU121" s="11">
        <f t="shared" si="35"/>
        <v>5587800000</v>
      </c>
      <c r="AV121">
        <v>1717139.6563127215</v>
      </c>
      <c r="AW121" s="11">
        <f t="shared" si="36"/>
        <v>1386590272.4725227</v>
      </c>
      <c r="AY121" s="11">
        <f t="shared" si="37"/>
        <v>3.0298854758558318</v>
      </c>
      <c r="AZ121" s="11">
        <f t="shared" si="38"/>
        <v>4.0298854758558322</v>
      </c>
      <c r="BG121">
        <v>4.3964999999999996</v>
      </c>
      <c r="BH121" s="11">
        <f t="shared" si="39"/>
        <v>43965000000</v>
      </c>
      <c r="BI121">
        <v>1717139.6563127215</v>
      </c>
      <c r="BJ121" s="11">
        <f t="shared" si="40"/>
        <v>1386590272.4725227</v>
      </c>
      <c r="BL121" s="11">
        <f t="shared" si="41"/>
        <v>31.707275662336098</v>
      </c>
      <c r="BM121" s="11">
        <f t="shared" si="42"/>
        <v>30.707275662336102</v>
      </c>
    </row>
    <row r="122" spans="1:65" x14ac:dyDescent="0.3">
      <c r="A122" t="s">
        <v>53</v>
      </c>
      <c r="B122">
        <v>4.4489999999999998</v>
      </c>
      <c r="C122">
        <f t="shared" si="43"/>
        <v>4449000000</v>
      </c>
      <c r="D122">
        <v>1556763.8331049446</v>
      </c>
      <c r="E122">
        <f t="shared" si="44"/>
        <v>1257086795.2322428</v>
      </c>
      <c r="H122" s="8">
        <f t="shared" si="45"/>
        <v>2.5391350994010415</v>
      </c>
      <c r="Y122" s="10">
        <v>6.5366999999999997</v>
      </c>
      <c r="Z122" s="11">
        <f t="shared" si="31"/>
        <v>6536700000</v>
      </c>
      <c r="AA122">
        <v>2292257.421540089</v>
      </c>
      <c r="AB122" s="11">
        <f t="shared" si="32"/>
        <v>1850997867.8936219</v>
      </c>
      <c r="AD122" s="8">
        <f t="shared" si="33"/>
        <v>2.5314465312910177</v>
      </c>
      <c r="AE122" s="8">
        <f t="shared" si="34"/>
        <v>3.5314465312910173</v>
      </c>
      <c r="AT122">
        <v>5.0659999999999998</v>
      </c>
      <c r="AU122" s="11">
        <f t="shared" si="35"/>
        <v>5066000000</v>
      </c>
      <c r="AV122">
        <v>1556763.8331049446</v>
      </c>
      <c r="AW122" s="11">
        <f t="shared" si="36"/>
        <v>1257086795.2322428</v>
      </c>
      <c r="AY122" s="11">
        <f t="shared" si="37"/>
        <v>3.0299524417994323</v>
      </c>
      <c r="AZ122" s="11">
        <f t="shared" si="38"/>
        <v>4.0299524417994323</v>
      </c>
      <c r="BG122">
        <v>3.9859</v>
      </c>
      <c r="BH122" s="11">
        <f t="shared" si="39"/>
        <v>39859000000</v>
      </c>
      <c r="BI122">
        <v>1556763.8331049446</v>
      </c>
      <c r="BJ122" s="11">
        <f t="shared" si="40"/>
        <v>1257086795.2322428</v>
      </c>
      <c r="BL122" s="11">
        <f t="shared" si="41"/>
        <v>31.707436710952148</v>
      </c>
      <c r="BM122" s="11">
        <f t="shared" si="42"/>
        <v>30.707436710952145</v>
      </c>
    </row>
    <row r="123" spans="1:65" s="1" customFormat="1" x14ac:dyDescent="0.3">
      <c r="A123" s="1" t="s">
        <v>54</v>
      </c>
      <c r="B123" s="1">
        <v>5.2107999999999999</v>
      </c>
      <c r="C123" s="1">
        <f t="shared" si="43"/>
        <v>5210800000</v>
      </c>
      <c r="D123" s="1">
        <v>1823329.9118606311</v>
      </c>
      <c r="E123" s="1">
        <f t="shared" si="44"/>
        <v>1472338903.8274596</v>
      </c>
      <c r="H123" s="13">
        <f t="shared" si="45"/>
        <v>2.5391308254194196</v>
      </c>
      <c r="Y123" s="15">
        <v>7.6558999999999999</v>
      </c>
      <c r="Z123" s="14">
        <f t="shared" si="31"/>
        <v>7655900000</v>
      </c>
      <c r="AA123" s="1">
        <v>2684762.7324708127</v>
      </c>
      <c r="AB123" s="14">
        <f t="shared" si="32"/>
        <v>2167945906.4701815</v>
      </c>
      <c r="AD123" s="13">
        <f t="shared" si="33"/>
        <v>2.5314072999474542</v>
      </c>
      <c r="AE123" s="13">
        <f t="shared" si="34"/>
        <v>3.5314072999474542</v>
      </c>
      <c r="AT123" s="1">
        <v>5.9333999999999998</v>
      </c>
      <c r="AU123" s="14">
        <f t="shared" si="35"/>
        <v>5933400000</v>
      </c>
      <c r="AV123" s="1">
        <v>1823329.9118606311</v>
      </c>
      <c r="AW123" s="14">
        <f t="shared" si="36"/>
        <v>1472338903.8274596</v>
      </c>
      <c r="AY123" s="14">
        <f t="shared" si="37"/>
        <v>3.0299145696521808</v>
      </c>
      <c r="AZ123" s="14">
        <f t="shared" si="38"/>
        <v>4.0299145696521803</v>
      </c>
      <c r="BG123" s="1">
        <v>4.6683000000000003</v>
      </c>
      <c r="BH123" s="14">
        <f t="shared" si="39"/>
        <v>46683000000</v>
      </c>
      <c r="BI123" s="1">
        <v>1823329.9118606311</v>
      </c>
      <c r="BJ123" s="14">
        <f t="shared" si="40"/>
        <v>1472338903.8274596</v>
      </c>
      <c r="BL123" s="14">
        <f t="shared" si="41"/>
        <v>31.706694619454737</v>
      </c>
      <c r="BM123" s="14">
        <f t="shared" si="42"/>
        <v>30.706694619454737</v>
      </c>
    </row>
    <row r="124" spans="1:65" x14ac:dyDescent="0.3">
      <c r="A124" t="s">
        <v>43</v>
      </c>
      <c r="B124">
        <v>4.4557000000000002</v>
      </c>
      <c r="C124">
        <f t="shared" si="43"/>
        <v>4455700000</v>
      </c>
      <c r="D124">
        <v>1558836.7124138982</v>
      </c>
      <c r="E124">
        <f t="shared" si="44"/>
        <v>1258760645.2742229</v>
      </c>
      <c r="H124" s="8">
        <f t="shared" si="45"/>
        <v>2.5397515935440764</v>
      </c>
      <c r="Y124">
        <v>6.5772000000000004</v>
      </c>
      <c r="Z124" s="11">
        <f t="shared" si="31"/>
        <v>6577200000</v>
      </c>
      <c r="AA124">
        <v>2305863.6564148441</v>
      </c>
      <c r="AB124" s="11">
        <f t="shared" si="32"/>
        <v>1861984902.5549867</v>
      </c>
      <c r="AD124" s="8">
        <f t="shared" si="33"/>
        <v>2.5323594681003421</v>
      </c>
      <c r="AE124" s="8">
        <f t="shared" si="34"/>
        <v>3.5323594681003421</v>
      </c>
      <c r="AT124">
        <v>5.0613999999999999</v>
      </c>
      <c r="AU124" s="11">
        <f t="shared" si="35"/>
        <v>5061400000</v>
      </c>
      <c r="AV124">
        <v>1558836.7124138982</v>
      </c>
      <c r="AW124" s="11">
        <f t="shared" si="36"/>
        <v>1258760645.2742229</v>
      </c>
      <c r="AY124" s="11">
        <f t="shared" si="37"/>
        <v>3.0209391825221599</v>
      </c>
      <c r="AZ124" s="11">
        <f t="shared" si="38"/>
        <v>4.0209391825221594</v>
      </c>
      <c r="BG124">
        <v>4.0185000000000004</v>
      </c>
      <c r="BH124" s="11">
        <f t="shared" si="39"/>
        <v>40185000000.000008</v>
      </c>
      <c r="BI124">
        <v>1558836.7124138982</v>
      </c>
      <c r="BJ124" s="11">
        <f t="shared" si="40"/>
        <v>1258760645.2742229</v>
      </c>
      <c r="BL124" s="11">
        <f t="shared" si="41"/>
        <v>31.924258317788166</v>
      </c>
      <c r="BM124" s="11">
        <f t="shared" si="42"/>
        <v>30.924258317788166</v>
      </c>
    </row>
    <row r="125" spans="1:65" x14ac:dyDescent="0.3">
      <c r="A125" t="s">
        <v>44</v>
      </c>
      <c r="B125">
        <v>4.0305999999999997</v>
      </c>
      <c r="C125">
        <f t="shared" si="43"/>
        <v>4030599999.9999995</v>
      </c>
      <c r="D125">
        <v>1410148.4896500946</v>
      </c>
      <c r="E125">
        <f t="shared" si="44"/>
        <v>1138694905.3924515</v>
      </c>
      <c r="H125" s="8">
        <f t="shared" si="45"/>
        <v>2.5396663152812224</v>
      </c>
      <c r="Y125">
        <v>5.9497999999999998</v>
      </c>
      <c r="Z125" s="11">
        <f t="shared" si="31"/>
        <v>5949800000</v>
      </c>
      <c r="AA125">
        <v>2085920.9476772181</v>
      </c>
      <c r="AB125" s="11">
        <f t="shared" si="32"/>
        <v>1684381165.2493536</v>
      </c>
      <c r="AD125" s="8">
        <f t="shared" si="33"/>
        <v>2.5323358647976804</v>
      </c>
      <c r="AE125" s="8">
        <f t="shared" si="34"/>
        <v>3.5323358647976804</v>
      </c>
      <c r="AT125">
        <v>4.5785999999999998</v>
      </c>
      <c r="AU125" s="11">
        <f t="shared" si="35"/>
        <v>4578600000</v>
      </c>
      <c r="AV125">
        <v>1410148.4896500946</v>
      </c>
      <c r="AW125" s="11">
        <f t="shared" si="36"/>
        <v>1138694905.3924515</v>
      </c>
      <c r="AY125" s="11">
        <f t="shared" si="37"/>
        <v>3.0209190173042746</v>
      </c>
      <c r="AZ125" s="11">
        <f t="shared" si="38"/>
        <v>4.0209190173042746</v>
      </c>
      <c r="BG125">
        <v>3.6352000000000002</v>
      </c>
      <c r="BH125" s="11">
        <f t="shared" si="39"/>
        <v>36352000000</v>
      </c>
      <c r="BI125">
        <v>1410148.4896500946</v>
      </c>
      <c r="BJ125" s="11">
        <f t="shared" si="40"/>
        <v>1138694905.3924515</v>
      </c>
      <c r="BL125" s="11">
        <f t="shared" si="41"/>
        <v>31.924266832010872</v>
      </c>
      <c r="BM125" s="11">
        <f t="shared" si="42"/>
        <v>30.924266832010876</v>
      </c>
    </row>
    <row r="126" spans="1:65" x14ac:dyDescent="0.3">
      <c r="A126" t="s">
        <v>45</v>
      </c>
      <c r="B126">
        <v>4.5932000000000004</v>
      </c>
      <c r="C126">
        <f t="shared" si="43"/>
        <v>4593200000</v>
      </c>
      <c r="D126">
        <v>1606957.1852263878</v>
      </c>
      <c r="E126">
        <f t="shared" si="44"/>
        <v>1297617927.0703082</v>
      </c>
      <c r="H126" s="8">
        <f t="shared" si="45"/>
        <v>2.5397168181625536</v>
      </c>
      <c r="Y126">
        <v>6.7803000000000004</v>
      </c>
      <c r="Z126" s="11">
        <f t="shared" si="31"/>
        <v>6780300000</v>
      </c>
      <c r="AA126">
        <v>2377044.4597050077</v>
      </c>
      <c r="AB126" s="11">
        <f t="shared" si="32"/>
        <v>1919463401.2117937</v>
      </c>
      <c r="AD126" s="8">
        <f t="shared" si="33"/>
        <v>2.5323934781561701</v>
      </c>
      <c r="AE126" s="8">
        <f t="shared" si="34"/>
        <v>3.5323934781561701</v>
      </c>
      <c r="AT126">
        <v>5.2176999999999998</v>
      </c>
      <c r="AU126" s="11">
        <f t="shared" si="35"/>
        <v>5217700000</v>
      </c>
      <c r="AV126">
        <v>1606957.1852263878</v>
      </c>
      <c r="AW126" s="11">
        <f t="shared" si="36"/>
        <v>1297617927.0703082</v>
      </c>
      <c r="AY126" s="11">
        <f t="shared" si="37"/>
        <v>3.0209832888023072</v>
      </c>
      <c r="AZ126" s="11">
        <f t="shared" si="38"/>
        <v>4.0209832888023067</v>
      </c>
      <c r="BG126">
        <v>4.1425000000000001</v>
      </c>
      <c r="BH126" s="11">
        <f t="shared" si="39"/>
        <v>41425000000</v>
      </c>
      <c r="BI126">
        <v>1606957.1852263878</v>
      </c>
      <c r="BJ126" s="11">
        <f t="shared" si="40"/>
        <v>1297617927.0703082</v>
      </c>
      <c r="BL126" s="11">
        <f t="shared" si="41"/>
        <v>31.923880778625747</v>
      </c>
      <c r="BM126" s="11">
        <f t="shared" si="42"/>
        <v>30.923880778625751</v>
      </c>
    </row>
    <row r="127" spans="1:65" x14ac:dyDescent="0.3">
      <c r="A127" t="s">
        <v>46</v>
      </c>
      <c r="B127">
        <v>4.3372000000000002</v>
      </c>
      <c r="C127">
        <f t="shared" si="43"/>
        <v>4337200000</v>
      </c>
      <c r="D127">
        <v>1517407.9465101932</v>
      </c>
      <c r="E127">
        <f t="shared" si="44"/>
        <v>1225306916.8069811</v>
      </c>
      <c r="H127" s="8">
        <f t="shared" si="45"/>
        <v>2.5396845806618638</v>
      </c>
      <c r="Y127">
        <v>6.4024000000000001</v>
      </c>
      <c r="Z127" s="11">
        <f t="shared" si="31"/>
        <v>6402400000</v>
      </c>
      <c r="AA127">
        <v>2244581.3650326105</v>
      </c>
      <c r="AB127" s="11">
        <f t="shared" si="32"/>
        <v>1812499452.263833</v>
      </c>
      <c r="AD127" s="8">
        <f t="shared" si="33"/>
        <v>2.5323596881661552</v>
      </c>
      <c r="AE127" s="8">
        <f t="shared" si="34"/>
        <v>3.5323596881661552</v>
      </c>
      <c r="AT127">
        <v>4.9268999999999998</v>
      </c>
      <c r="AU127" s="11">
        <f t="shared" si="35"/>
        <v>4926900000</v>
      </c>
      <c r="AV127">
        <v>1517407.9465101932</v>
      </c>
      <c r="AW127" s="11">
        <f t="shared" si="36"/>
        <v>1225306916.8069811</v>
      </c>
      <c r="AY127" s="11">
        <f t="shared" si="37"/>
        <v>3.0209517570005846</v>
      </c>
      <c r="AZ127" s="11">
        <f t="shared" si="38"/>
        <v>4.020951757000585</v>
      </c>
      <c r="BG127">
        <v>3.9117000000000002</v>
      </c>
      <c r="BH127" s="11">
        <f t="shared" si="39"/>
        <v>39117000000</v>
      </c>
      <c r="BI127">
        <v>1517407.9465101932</v>
      </c>
      <c r="BJ127" s="11">
        <f t="shared" si="40"/>
        <v>1225306916.8069811</v>
      </c>
      <c r="BL127" s="11">
        <f t="shared" si="41"/>
        <v>31.924246458948197</v>
      </c>
      <c r="BM127" s="11">
        <f t="shared" si="42"/>
        <v>30.924246458948197</v>
      </c>
    </row>
    <row r="128" spans="1:65" x14ac:dyDescent="0.3">
      <c r="A128" t="s">
        <v>47</v>
      </c>
      <c r="B128">
        <v>4.47</v>
      </c>
      <c r="C128">
        <f t="shared" si="43"/>
        <v>4470000000</v>
      </c>
      <c r="D128">
        <v>1563834.6419120037</v>
      </c>
      <c r="E128">
        <f t="shared" si="44"/>
        <v>1262796473.3439431</v>
      </c>
      <c r="H128" s="8">
        <f t="shared" si="45"/>
        <v>2.5397628155891461</v>
      </c>
      <c r="Y128">
        <v>6.5983000000000001</v>
      </c>
      <c r="Z128" s="11">
        <f t="shared" si="31"/>
        <v>6598300000</v>
      </c>
      <c r="AA128">
        <v>2313256.6975815222</v>
      </c>
      <c r="AB128" s="11">
        <f t="shared" si="32"/>
        <v>1867954783.2970791</v>
      </c>
      <c r="AD128" s="8">
        <f t="shared" si="33"/>
        <v>2.532366018171762</v>
      </c>
      <c r="AE128" s="8">
        <f t="shared" si="34"/>
        <v>3.532366018171762</v>
      </c>
      <c r="AT128">
        <v>5.0777000000000001</v>
      </c>
      <c r="AU128" s="11">
        <f t="shared" si="35"/>
        <v>5077700000</v>
      </c>
      <c r="AV128">
        <v>1563834.6419120037</v>
      </c>
      <c r="AW128" s="11">
        <f t="shared" si="36"/>
        <v>1262796473.3439431</v>
      </c>
      <c r="AY128" s="11">
        <f t="shared" si="37"/>
        <v>3.0209963419948562</v>
      </c>
      <c r="AZ128" s="11">
        <f t="shared" si="38"/>
        <v>4.0209963419948558</v>
      </c>
      <c r="BG128">
        <v>4.0313999999999997</v>
      </c>
      <c r="BH128" s="11">
        <f t="shared" si="39"/>
        <v>40314000000</v>
      </c>
      <c r="BI128">
        <v>1563834.6419120037</v>
      </c>
      <c r="BJ128" s="11">
        <f t="shared" si="40"/>
        <v>1262796473.3439431</v>
      </c>
      <c r="BL128" s="11">
        <f t="shared" si="41"/>
        <v>31.924384373078485</v>
      </c>
      <c r="BM128" s="11">
        <f t="shared" si="42"/>
        <v>30.924384373078489</v>
      </c>
    </row>
    <row r="129" spans="1:65" x14ac:dyDescent="0.3">
      <c r="A129" t="s">
        <v>48</v>
      </c>
      <c r="B129">
        <v>4.8887999999999998</v>
      </c>
      <c r="C129">
        <f t="shared" si="43"/>
        <v>4888800000</v>
      </c>
      <c r="D129">
        <v>1710355.4386888121</v>
      </c>
      <c r="E129">
        <f t="shared" si="44"/>
        <v>1381112016.7412157</v>
      </c>
      <c r="H129" s="8">
        <f t="shared" si="45"/>
        <v>2.5397563273218795</v>
      </c>
      <c r="Y129">
        <v>7.2165999999999997</v>
      </c>
      <c r="Z129" s="11">
        <f t="shared" si="31"/>
        <v>7216600000</v>
      </c>
      <c r="AA129">
        <v>2529993.3047617623</v>
      </c>
      <c r="AB129" s="11">
        <f t="shared" si="32"/>
        <v>2042969593.5951231</v>
      </c>
      <c r="AD129" s="8">
        <f t="shared" si="33"/>
        <v>2.5324069543788768</v>
      </c>
      <c r="AE129" s="8">
        <f t="shared" si="34"/>
        <v>3.5324069543788768</v>
      </c>
      <c r="AT129">
        <v>5.5533999999999999</v>
      </c>
      <c r="AU129" s="11">
        <f t="shared" si="35"/>
        <v>5553400000</v>
      </c>
      <c r="AV129">
        <v>1710355.4386888121</v>
      </c>
      <c r="AW129" s="11">
        <f t="shared" si="36"/>
        <v>1381112016.7412157</v>
      </c>
      <c r="AY129" s="11">
        <f t="shared" si="37"/>
        <v>3.0209627696263555</v>
      </c>
      <c r="AZ129" s="11">
        <f t="shared" si="38"/>
        <v>4.0209627696263555</v>
      </c>
      <c r="BG129">
        <v>4.4090999999999996</v>
      </c>
      <c r="BH129" s="11">
        <f t="shared" si="39"/>
        <v>44090999999.999992</v>
      </c>
      <c r="BI129">
        <v>1710355.4386888121</v>
      </c>
      <c r="BJ129" s="11">
        <f t="shared" si="40"/>
        <v>1381112016.7412157</v>
      </c>
      <c r="BL129" s="11">
        <f t="shared" si="41"/>
        <v>31.924275124355457</v>
      </c>
      <c r="BM129" s="11">
        <f t="shared" si="42"/>
        <v>30.924275124355457</v>
      </c>
    </row>
    <row r="130" spans="1:65" x14ac:dyDescent="0.3">
      <c r="A130" t="s">
        <v>49</v>
      </c>
      <c r="B130">
        <v>5.6108000000000002</v>
      </c>
      <c r="C130">
        <f t="shared" si="43"/>
        <v>5610800000</v>
      </c>
      <c r="D130">
        <v>1962973.3517373821</v>
      </c>
      <c r="E130">
        <f t="shared" si="44"/>
        <v>1585100981.527936</v>
      </c>
      <c r="H130" s="8">
        <f t="shared" si="45"/>
        <v>2.5397113908740043</v>
      </c>
      <c r="Y130">
        <v>8.2824000000000009</v>
      </c>
      <c r="Z130" s="11">
        <f t="shared" si="31"/>
        <v>8282400000.000001</v>
      </c>
      <c r="AA130">
        <v>2903670.9709465955</v>
      </c>
      <c r="AB130" s="11">
        <f t="shared" si="32"/>
        <v>2344714309.0393758</v>
      </c>
      <c r="AD130" s="8">
        <f t="shared" si="33"/>
        <v>2.5323706466368097</v>
      </c>
      <c r="AE130" s="8">
        <f t="shared" si="34"/>
        <v>3.5323706466368101</v>
      </c>
      <c r="AT130">
        <v>6.3737000000000004</v>
      </c>
      <c r="AU130" s="11">
        <f t="shared" si="35"/>
        <v>6373700000</v>
      </c>
      <c r="AV130">
        <v>1962973.3517373821</v>
      </c>
      <c r="AW130" s="11">
        <f t="shared" si="36"/>
        <v>1585100981.527936</v>
      </c>
      <c r="AY130" s="11">
        <f t="shared" si="37"/>
        <v>3.0210056483948176</v>
      </c>
      <c r="AZ130" s="11">
        <f t="shared" si="38"/>
        <v>4.0210056483948176</v>
      </c>
      <c r="BG130">
        <v>5.0602999999999998</v>
      </c>
      <c r="BH130" s="11">
        <f t="shared" si="39"/>
        <v>50603000000</v>
      </c>
      <c r="BI130">
        <v>1962973.3517373821</v>
      </c>
      <c r="BJ130" s="11">
        <f t="shared" si="40"/>
        <v>1585100981.527936</v>
      </c>
      <c r="BL130" s="11">
        <f t="shared" si="41"/>
        <v>31.92414905403815</v>
      </c>
      <c r="BM130" s="11">
        <f t="shared" si="42"/>
        <v>30.924149054038146</v>
      </c>
    </row>
    <row r="131" spans="1:65" x14ac:dyDescent="0.3">
      <c r="A131" t="s">
        <v>50</v>
      </c>
      <c r="B131">
        <v>5.8472999999999997</v>
      </c>
      <c r="C131">
        <f t="shared" si="43"/>
        <v>5847300000</v>
      </c>
      <c r="D131">
        <v>2045709.6377227122</v>
      </c>
      <c r="E131">
        <f t="shared" si="44"/>
        <v>1651910532.4610901</v>
      </c>
      <c r="H131" s="8">
        <f t="shared" si="45"/>
        <v>2.5397195460025497</v>
      </c>
      <c r="Y131">
        <v>8.6315000000000008</v>
      </c>
      <c r="Z131" s="11">
        <f t="shared" si="31"/>
        <v>8631500000</v>
      </c>
      <c r="AA131">
        <v>3026056.2043716484</v>
      </c>
      <c r="AB131" s="11">
        <f t="shared" si="32"/>
        <v>2443540385.0301061</v>
      </c>
      <c r="AD131" s="8">
        <f t="shared" si="33"/>
        <v>2.5323746040291675</v>
      </c>
      <c r="AE131" s="8">
        <f t="shared" si="34"/>
        <v>3.5323746040291675</v>
      </c>
      <c r="AT131">
        <v>6.6422999999999996</v>
      </c>
      <c r="AU131" s="11">
        <f t="shared" si="35"/>
        <v>6642300000</v>
      </c>
      <c r="AV131">
        <v>2045709.6377227122</v>
      </c>
      <c r="AW131" s="11">
        <f t="shared" si="36"/>
        <v>1651910532.4610901</v>
      </c>
      <c r="AY131" s="11">
        <f t="shared" si="37"/>
        <v>3.0209804765298061</v>
      </c>
      <c r="AZ131" s="11">
        <f t="shared" si="38"/>
        <v>4.0209804765298065</v>
      </c>
      <c r="BG131">
        <v>5.2736000000000001</v>
      </c>
      <c r="BH131" s="11">
        <f t="shared" si="39"/>
        <v>52736000000</v>
      </c>
      <c r="BI131">
        <v>2045709.6377227122</v>
      </c>
      <c r="BJ131" s="11">
        <f t="shared" si="40"/>
        <v>1651910532.4610901</v>
      </c>
      <c r="BL131" s="11">
        <f t="shared" si="41"/>
        <v>31.924247084635724</v>
      </c>
      <c r="BM131" s="11">
        <f t="shared" si="42"/>
        <v>30.924247084635724</v>
      </c>
    </row>
    <row r="132" spans="1:65" x14ac:dyDescent="0.3">
      <c r="A132" t="s">
        <v>51</v>
      </c>
      <c r="B132">
        <v>5.2709000000000001</v>
      </c>
      <c r="C132">
        <f t="shared" ref="C132:C159" si="46">B132*1000000000</f>
        <v>5270900000</v>
      </c>
      <c r="D132">
        <v>1844032.5945864781</v>
      </c>
      <c r="E132">
        <f t="shared" ref="E132:E159" si="47">D132*807.5</f>
        <v>1489056320.128581</v>
      </c>
      <c r="H132" s="8">
        <f t="shared" ref="H132:H159" si="48">(C132-E132)/E132</f>
        <v>2.5397586570431763</v>
      </c>
      <c r="Y132">
        <v>7.7805999999999997</v>
      </c>
      <c r="Z132" s="11">
        <f t="shared" si="31"/>
        <v>7780600000</v>
      </c>
      <c r="AA132">
        <v>2727731.3314727256</v>
      </c>
      <c r="AB132" s="11">
        <f t="shared" si="32"/>
        <v>2202643050.1642261</v>
      </c>
      <c r="AD132" s="8">
        <f t="shared" si="33"/>
        <v>2.53239259507794</v>
      </c>
      <c r="AE132" s="8">
        <f t="shared" si="34"/>
        <v>3.53239259507794</v>
      </c>
      <c r="AT132">
        <v>5.9874999999999998</v>
      </c>
      <c r="AU132" s="11">
        <f t="shared" si="35"/>
        <v>5987500000</v>
      </c>
      <c r="AV132">
        <v>1844032.5945864781</v>
      </c>
      <c r="AW132" s="11">
        <f t="shared" si="36"/>
        <v>1489056320.128581</v>
      </c>
      <c r="AY132" s="11">
        <f t="shared" si="37"/>
        <v>3.0210030467369933</v>
      </c>
      <c r="AZ132" s="11">
        <f t="shared" si="38"/>
        <v>4.0210030467369933</v>
      </c>
      <c r="BG132">
        <v>4.7537000000000003</v>
      </c>
      <c r="BH132" s="11">
        <f t="shared" si="39"/>
        <v>47537000000</v>
      </c>
      <c r="BI132">
        <v>1844032.5945864781</v>
      </c>
      <c r="BJ132" s="11">
        <f t="shared" si="40"/>
        <v>1489056320.128581</v>
      </c>
      <c r="BL132" s="11">
        <f t="shared" si="41"/>
        <v>31.924245817576026</v>
      </c>
      <c r="BM132" s="11">
        <f t="shared" si="42"/>
        <v>30.924245817576026</v>
      </c>
    </row>
    <row r="133" spans="1:65" x14ac:dyDescent="0.3">
      <c r="A133" t="s">
        <v>52</v>
      </c>
      <c r="B133">
        <v>5.0057</v>
      </c>
      <c r="C133">
        <f t="shared" si="46"/>
        <v>5005700000</v>
      </c>
      <c r="D133">
        <v>1751255.0137229082</v>
      </c>
      <c r="E133">
        <f t="shared" si="47"/>
        <v>1414138423.5812483</v>
      </c>
      <c r="H133" s="8">
        <f t="shared" si="48"/>
        <v>2.5397524857031093</v>
      </c>
      <c r="Y133">
        <v>7.3891</v>
      </c>
      <c r="Z133" s="11">
        <f t="shared" ref="Z133:Z159" si="49">Y133*10^9</f>
        <v>7389100000</v>
      </c>
      <c r="AA133">
        <v>2590492.8060134966</v>
      </c>
      <c r="AB133" s="11">
        <f t="shared" ref="AB133:AB159" si="50">AA133*807.5</f>
        <v>2091822940.8558984</v>
      </c>
      <c r="AD133" s="8">
        <f t="shared" ref="AD133:AD159" si="51">(Z133-AB133)/AB133</f>
        <v>2.5323735368236511</v>
      </c>
      <c r="AE133" s="8">
        <f t="shared" ref="AE133:AE159" si="52">Z133/AB133</f>
        <v>3.5323735368236506</v>
      </c>
      <c r="AT133">
        <v>5.6862000000000004</v>
      </c>
      <c r="AU133" s="11">
        <f t="shared" ref="AU133:AU159" si="53">AT133*10^9</f>
        <v>5686200000</v>
      </c>
      <c r="AV133">
        <v>1751255.0137229082</v>
      </c>
      <c r="AW133" s="11">
        <f t="shared" ref="AW133:AW159" si="54">AV133*807.5</f>
        <v>1414138423.5812483</v>
      </c>
      <c r="AY133" s="11">
        <f t="shared" ref="AY133:AY159" si="55">(AU133-AW133)/AW133</f>
        <v>3.0209642176329026</v>
      </c>
      <c r="AZ133" s="11">
        <f t="shared" ref="AZ133:AZ159" si="56">AU133/AW133</f>
        <v>4.0209642176329021</v>
      </c>
      <c r="BG133">
        <v>4.5145</v>
      </c>
      <c r="BH133" s="11">
        <f t="shared" ref="BH133:BH159" si="57">BG133*10^10</f>
        <v>45145000000</v>
      </c>
      <c r="BI133">
        <v>1751255.0137229082</v>
      </c>
      <c r="BJ133" s="11">
        <f t="shared" ref="BJ133:BJ159" si="58">BI133*807.5</f>
        <v>1414138423.5812483</v>
      </c>
      <c r="BL133" s="11">
        <f t="shared" ref="BL133:BL159" si="59">BH133/BJ133</f>
        <v>31.924031797164606</v>
      </c>
      <c r="BM133" s="11">
        <f t="shared" ref="BM133:BM159" si="60">(BH133-BJ133)/BJ133</f>
        <v>30.924031797164609</v>
      </c>
    </row>
    <row r="134" spans="1:65" x14ac:dyDescent="0.3">
      <c r="A134" t="s">
        <v>53</v>
      </c>
      <c r="B134">
        <v>4.5381999999999998</v>
      </c>
      <c r="C134">
        <f t="shared" si="46"/>
        <v>4538200000</v>
      </c>
      <c r="D134">
        <v>1587692.915881864</v>
      </c>
      <c r="E134">
        <f t="shared" si="47"/>
        <v>1282062029.5746052</v>
      </c>
      <c r="H134" s="8">
        <f t="shared" si="48"/>
        <v>2.5397663258975061</v>
      </c>
      <c r="Y134">
        <v>6.6989999999999998</v>
      </c>
      <c r="Z134" s="11">
        <f t="shared" si="49"/>
        <v>6699000000</v>
      </c>
      <c r="AA134">
        <v>2348548.352194082</v>
      </c>
      <c r="AB134" s="11">
        <f t="shared" si="50"/>
        <v>1896452794.3967211</v>
      </c>
      <c r="AD134" s="8">
        <f t="shared" si="51"/>
        <v>2.5323842595992549</v>
      </c>
      <c r="AE134" s="8">
        <f t="shared" si="52"/>
        <v>3.5323842595992549</v>
      </c>
      <c r="AT134">
        <v>5.1551999999999998</v>
      </c>
      <c r="AU134" s="11">
        <f t="shared" si="53"/>
        <v>5155200000</v>
      </c>
      <c r="AV134">
        <v>1587692.915881864</v>
      </c>
      <c r="AW134" s="11">
        <f t="shared" si="54"/>
        <v>1282062029.5746052</v>
      </c>
      <c r="AY134" s="11">
        <f t="shared" si="55"/>
        <v>3.0210222914959286</v>
      </c>
      <c r="AZ134" s="11">
        <f t="shared" si="56"/>
        <v>4.0210222914959282</v>
      </c>
      <c r="BG134">
        <v>4.0929000000000002</v>
      </c>
      <c r="BH134" s="11">
        <f t="shared" si="57"/>
        <v>40929000000</v>
      </c>
      <c r="BI134">
        <v>1587692.915881864</v>
      </c>
      <c r="BJ134" s="11">
        <f t="shared" si="58"/>
        <v>1282062029.5746052</v>
      </c>
      <c r="BL134" s="11">
        <f t="shared" si="59"/>
        <v>31.924352375977044</v>
      </c>
      <c r="BM134" s="11">
        <f t="shared" si="60"/>
        <v>30.924352375977044</v>
      </c>
    </row>
    <row r="135" spans="1:65" s="1" customFormat="1" x14ac:dyDescent="0.3">
      <c r="A135" s="1" t="s">
        <v>54</v>
      </c>
      <c r="B135" s="1">
        <v>5.3151999999999999</v>
      </c>
      <c r="C135" s="1">
        <f t="shared" si="46"/>
        <v>5315200000</v>
      </c>
      <c r="D135" s="1">
        <v>1859555.0094472661</v>
      </c>
      <c r="E135" s="1">
        <f t="shared" si="47"/>
        <v>1501590670.1286674</v>
      </c>
      <c r="H135" s="13">
        <f t="shared" si="48"/>
        <v>2.5397129895223407</v>
      </c>
      <c r="Y135" s="1">
        <v>7.8460999999999999</v>
      </c>
      <c r="Z135" s="14">
        <f t="shared" si="49"/>
        <v>7846100000</v>
      </c>
      <c r="AA135" s="1">
        <v>2750692.4100784888</v>
      </c>
      <c r="AB135" s="14">
        <f t="shared" si="50"/>
        <v>2221184121.1383796</v>
      </c>
      <c r="AD135" s="13">
        <f t="shared" si="51"/>
        <v>2.5323951424516724</v>
      </c>
      <c r="AE135" s="13">
        <f t="shared" si="52"/>
        <v>3.5323951424516729</v>
      </c>
      <c r="AT135" s="1">
        <v>6.0378999999999996</v>
      </c>
      <c r="AU135" s="14">
        <f t="shared" si="53"/>
        <v>6037900000</v>
      </c>
      <c r="AV135" s="1">
        <v>1859555.0094472661</v>
      </c>
      <c r="AW135" s="14">
        <f t="shared" si="54"/>
        <v>1501590670.1286674</v>
      </c>
      <c r="AY135" s="14">
        <f t="shared" si="55"/>
        <v>3.0210026075099599</v>
      </c>
      <c r="AZ135" s="14">
        <f t="shared" si="56"/>
        <v>4.0210026075099599</v>
      </c>
      <c r="BG135" s="1">
        <v>4.7937000000000003</v>
      </c>
      <c r="BH135" s="14">
        <f t="shared" si="57"/>
        <v>47937000000</v>
      </c>
      <c r="BI135" s="1">
        <v>1859555.0094472661</v>
      </c>
      <c r="BJ135" s="14">
        <f t="shared" si="58"/>
        <v>1501590670.1286674</v>
      </c>
      <c r="BL135" s="14">
        <f t="shared" si="59"/>
        <v>31.924146142898188</v>
      </c>
      <c r="BM135" s="14">
        <f t="shared" si="60"/>
        <v>30.924146142898184</v>
      </c>
    </row>
    <row r="136" spans="1:65" x14ac:dyDescent="0.3">
      <c r="A136" t="s">
        <v>43</v>
      </c>
      <c r="B136">
        <v>4.5431999999999997</v>
      </c>
      <c r="C136">
        <f t="shared" si="46"/>
        <v>4543200000</v>
      </c>
      <c r="D136">
        <v>1589203.6613570261</v>
      </c>
      <c r="E136">
        <f t="shared" si="47"/>
        <v>1283281956.5457985</v>
      </c>
      <c r="H136" s="8">
        <f t="shared" si="48"/>
        <v>2.540297575934833</v>
      </c>
      <c r="Y136">
        <v>6.7366000000000001</v>
      </c>
      <c r="Z136" s="11">
        <f t="shared" si="49"/>
        <v>6736600000</v>
      </c>
      <c r="AA136">
        <v>2361131.5034913369</v>
      </c>
      <c r="AB136" s="11">
        <f t="shared" si="50"/>
        <v>1906613689.0692546</v>
      </c>
      <c r="AD136" s="8">
        <f t="shared" si="51"/>
        <v>2.5332799919676354</v>
      </c>
      <c r="AE136" s="8">
        <f t="shared" si="52"/>
        <v>3.5332799919676354</v>
      </c>
      <c r="AT136">
        <v>5.149</v>
      </c>
      <c r="AU136" s="11">
        <f t="shared" si="53"/>
        <v>5149000000</v>
      </c>
      <c r="AV136">
        <v>1589203.6613570261</v>
      </c>
      <c r="AW136" s="11">
        <f t="shared" si="54"/>
        <v>1283281956.5457985</v>
      </c>
      <c r="AY136" s="11">
        <f t="shared" si="55"/>
        <v>3.0123684228051713</v>
      </c>
      <c r="AZ136" s="11">
        <f t="shared" si="56"/>
        <v>4.0123684228051708</v>
      </c>
      <c r="BG136">
        <v>4.1235999999999997</v>
      </c>
      <c r="BH136" s="11">
        <f t="shared" si="57"/>
        <v>41236000000</v>
      </c>
      <c r="BI136">
        <v>1589203.6613570261</v>
      </c>
      <c r="BJ136" s="11">
        <f t="shared" si="58"/>
        <v>1283281956.5457985</v>
      </c>
      <c r="BL136" s="11">
        <f t="shared" si="59"/>
        <v>32.133234469371537</v>
      </c>
      <c r="BM136" s="11">
        <f t="shared" si="60"/>
        <v>31.133234469371537</v>
      </c>
    </row>
    <row r="137" spans="1:65" x14ac:dyDescent="0.3">
      <c r="A137" t="s">
        <v>44</v>
      </c>
      <c r="B137">
        <v>4.1098999999999997</v>
      </c>
      <c r="C137">
        <f t="shared" si="46"/>
        <v>4109899999.9999995</v>
      </c>
      <c r="D137">
        <v>1437618.9147731485</v>
      </c>
      <c r="E137">
        <f t="shared" si="47"/>
        <v>1160877273.6793175</v>
      </c>
      <c r="H137" s="8">
        <f t="shared" si="48"/>
        <v>2.5403397871456002</v>
      </c>
      <c r="Y137">
        <v>6.0940000000000003</v>
      </c>
      <c r="Z137" s="11">
        <f t="shared" si="49"/>
        <v>6094000000</v>
      </c>
      <c r="AA137">
        <v>2135917.1214011759</v>
      </c>
      <c r="AB137" s="11">
        <f t="shared" si="50"/>
        <v>1724753075.5314496</v>
      </c>
      <c r="AD137" s="8">
        <f t="shared" si="51"/>
        <v>2.5332593902592411</v>
      </c>
      <c r="AE137" s="8">
        <f t="shared" si="52"/>
        <v>3.5332593902592411</v>
      </c>
      <c r="AT137">
        <v>4.6578999999999997</v>
      </c>
      <c r="AU137" s="11">
        <f t="shared" si="53"/>
        <v>4657900000</v>
      </c>
      <c r="AV137">
        <v>1437618.9147731485</v>
      </c>
      <c r="AW137" s="11">
        <f t="shared" si="54"/>
        <v>1160877273.6793175</v>
      </c>
      <c r="AY137" s="11">
        <f t="shared" si="55"/>
        <v>3.0123965776650268</v>
      </c>
      <c r="AZ137" s="11">
        <f t="shared" si="56"/>
        <v>4.0123965776650268</v>
      </c>
      <c r="BG137">
        <v>3.7302</v>
      </c>
      <c r="BH137" s="11">
        <f t="shared" si="57"/>
        <v>37302000000</v>
      </c>
      <c r="BI137">
        <v>1437618.9147731485</v>
      </c>
      <c r="BJ137" s="11">
        <f t="shared" si="58"/>
        <v>1160877273.6793175</v>
      </c>
      <c r="BL137" s="11">
        <f t="shared" si="59"/>
        <v>32.132595620356987</v>
      </c>
      <c r="BM137" s="11">
        <f t="shared" si="60"/>
        <v>31.132595620356987</v>
      </c>
    </row>
    <row r="138" spans="1:65" x14ac:dyDescent="0.3">
      <c r="A138" t="s">
        <v>45</v>
      </c>
      <c r="B138">
        <v>4.6835000000000004</v>
      </c>
      <c r="C138">
        <f t="shared" si="46"/>
        <v>4683500000</v>
      </c>
      <c r="D138">
        <v>1638261.5459775513</v>
      </c>
      <c r="E138">
        <f t="shared" si="47"/>
        <v>1322896198.3768725</v>
      </c>
      <c r="H138" s="8">
        <f t="shared" si="48"/>
        <v>2.5403382410097031</v>
      </c>
      <c r="Y138">
        <v>6.9446000000000003</v>
      </c>
      <c r="Z138" s="11">
        <f t="shared" si="49"/>
        <v>6944600000</v>
      </c>
      <c r="AA138">
        <v>2434018.3962721252</v>
      </c>
      <c r="AB138" s="11">
        <f t="shared" si="50"/>
        <v>1965469854.9897411</v>
      </c>
      <c r="AD138" s="8">
        <f t="shared" si="51"/>
        <v>2.5333027277776528</v>
      </c>
      <c r="AE138" s="8">
        <f t="shared" si="52"/>
        <v>3.5333027277776528</v>
      </c>
      <c r="AT138">
        <v>5.3079999999999998</v>
      </c>
      <c r="AU138" s="11">
        <f t="shared" si="53"/>
        <v>5308000000</v>
      </c>
      <c r="AV138">
        <v>1638261.5459775513</v>
      </c>
      <c r="AW138" s="11">
        <f t="shared" si="54"/>
        <v>1322896198.3768725</v>
      </c>
      <c r="AY138" s="11">
        <f t="shared" si="55"/>
        <v>3.0124085370512446</v>
      </c>
      <c r="AZ138" s="11">
        <f t="shared" si="56"/>
        <v>4.0124085370512441</v>
      </c>
      <c r="BG138">
        <v>4.2508999999999997</v>
      </c>
      <c r="BH138" s="11">
        <f t="shared" si="57"/>
        <v>42509000000</v>
      </c>
      <c r="BI138">
        <v>1638261.5459775513</v>
      </c>
      <c r="BJ138" s="11">
        <f t="shared" si="58"/>
        <v>1322896198.3768725</v>
      </c>
      <c r="BL138" s="11">
        <f t="shared" si="59"/>
        <v>32.133284570744415</v>
      </c>
      <c r="BM138" s="11">
        <f t="shared" si="60"/>
        <v>31.133284570744415</v>
      </c>
    </row>
    <row r="139" spans="1:65" x14ac:dyDescent="0.3">
      <c r="A139" t="s">
        <v>46</v>
      </c>
      <c r="B139">
        <v>4.4225000000000003</v>
      </c>
      <c r="C139">
        <f t="shared" si="46"/>
        <v>4422500000</v>
      </c>
      <c r="D139">
        <v>1546967.84157208</v>
      </c>
      <c r="E139">
        <f t="shared" si="47"/>
        <v>1249176532.0694547</v>
      </c>
      <c r="H139" s="8">
        <f t="shared" si="48"/>
        <v>2.5403322800768944</v>
      </c>
      <c r="Y139">
        <v>6.5575999999999999</v>
      </c>
      <c r="Z139" s="11">
        <f t="shared" si="49"/>
        <v>6557600000</v>
      </c>
      <c r="AA139">
        <v>2298380.3740452449</v>
      </c>
      <c r="AB139" s="11">
        <f t="shared" si="50"/>
        <v>1855942152.0415351</v>
      </c>
      <c r="AD139" s="8">
        <f t="shared" si="51"/>
        <v>2.5332997813464413</v>
      </c>
      <c r="AE139" s="8">
        <f t="shared" si="52"/>
        <v>3.5332997813464413</v>
      </c>
      <c r="AT139">
        <v>5.0121000000000002</v>
      </c>
      <c r="AU139" s="11">
        <f t="shared" si="53"/>
        <v>5012100000</v>
      </c>
      <c r="AV139">
        <v>1546967.84157208</v>
      </c>
      <c r="AW139" s="11">
        <f t="shared" si="54"/>
        <v>1249176532.0694547</v>
      </c>
      <c r="AY139" s="11">
        <f t="shared" si="55"/>
        <v>3.0123232155960205</v>
      </c>
      <c r="AZ139" s="11">
        <f t="shared" si="56"/>
        <v>4.0123232155960205</v>
      </c>
      <c r="BG139">
        <v>4.0140000000000002</v>
      </c>
      <c r="BH139" s="11">
        <f t="shared" si="57"/>
        <v>40140000000</v>
      </c>
      <c r="BI139">
        <v>1546967.84157208</v>
      </c>
      <c r="BJ139" s="11">
        <f t="shared" si="58"/>
        <v>1249176532.0694547</v>
      </c>
      <c r="BL139" s="11">
        <f t="shared" si="59"/>
        <v>32.133168507017871</v>
      </c>
      <c r="BM139" s="11">
        <f t="shared" si="60"/>
        <v>31.133168507017867</v>
      </c>
    </row>
    <row r="140" spans="1:65" x14ac:dyDescent="0.3">
      <c r="A140" t="s">
        <v>47</v>
      </c>
      <c r="B140">
        <v>4.5578000000000003</v>
      </c>
      <c r="C140">
        <f t="shared" si="46"/>
        <v>4557800000</v>
      </c>
      <c r="D140">
        <v>1594298.9531180817</v>
      </c>
      <c r="E140">
        <f t="shared" si="47"/>
        <v>1287396404.6428509</v>
      </c>
      <c r="H140" s="8">
        <f t="shared" si="48"/>
        <v>2.5403236979401256</v>
      </c>
      <c r="Y140">
        <v>6.7582000000000004</v>
      </c>
      <c r="Z140" s="11">
        <f t="shared" si="49"/>
        <v>6758200000</v>
      </c>
      <c r="AA140">
        <v>2368701.7439765842</v>
      </c>
      <c r="AB140" s="11">
        <f t="shared" si="50"/>
        <v>1912726658.2610917</v>
      </c>
      <c r="AD140" s="8">
        <f t="shared" si="51"/>
        <v>2.5332806027517027</v>
      </c>
      <c r="AE140" s="8">
        <f t="shared" si="52"/>
        <v>3.5332806027517027</v>
      </c>
      <c r="AT140">
        <v>5.1654999999999998</v>
      </c>
      <c r="AU140" s="11">
        <f t="shared" si="53"/>
        <v>5165500000</v>
      </c>
      <c r="AV140">
        <v>1594298.9531180817</v>
      </c>
      <c r="AW140" s="11">
        <f t="shared" si="54"/>
        <v>1287396404.6428509</v>
      </c>
      <c r="AY140" s="11">
        <f t="shared" si="55"/>
        <v>3.0123616792552808</v>
      </c>
      <c r="AZ140" s="11">
        <f t="shared" si="56"/>
        <v>4.0123616792552808</v>
      </c>
      <c r="BG140">
        <v>4.1368</v>
      </c>
      <c r="BH140" s="11">
        <f t="shared" si="57"/>
        <v>41368000000</v>
      </c>
      <c r="BI140">
        <v>1594298.9531180817</v>
      </c>
      <c r="BJ140" s="11">
        <f t="shared" si="58"/>
        <v>1287396404.6428509</v>
      </c>
      <c r="BL140" s="11">
        <f t="shared" si="59"/>
        <v>32.133070941328519</v>
      </c>
      <c r="BM140" s="11">
        <f t="shared" si="60"/>
        <v>31.133070941328516</v>
      </c>
    </row>
    <row r="141" spans="1:65" x14ac:dyDescent="0.3">
      <c r="A141" t="s">
        <v>48</v>
      </c>
      <c r="B141">
        <v>4.9848999999999997</v>
      </c>
      <c r="C141">
        <f t="shared" si="46"/>
        <v>4984900000</v>
      </c>
      <c r="D141">
        <v>1743674.0511308019</v>
      </c>
      <c r="E141">
        <f t="shared" si="47"/>
        <v>1408016796.2881227</v>
      </c>
      <c r="H141" s="8">
        <f t="shared" si="48"/>
        <v>2.5403696981040413</v>
      </c>
      <c r="Y141">
        <v>7.3914</v>
      </c>
      <c r="Z141" s="11">
        <f t="shared" si="49"/>
        <v>7391400000</v>
      </c>
      <c r="AA141">
        <v>2590633.1794061838</v>
      </c>
      <c r="AB141" s="11">
        <f t="shared" si="50"/>
        <v>2091936292.3704934</v>
      </c>
      <c r="AD141" s="8">
        <f t="shared" si="51"/>
        <v>2.5332815951217995</v>
      </c>
      <c r="AE141" s="8">
        <f t="shared" si="52"/>
        <v>3.5332815951217995</v>
      </c>
      <c r="AT141">
        <v>5.6494999999999997</v>
      </c>
      <c r="AU141" s="11">
        <f t="shared" si="53"/>
        <v>5649500000</v>
      </c>
      <c r="AV141">
        <v>1743674.0511308019</v>
      </c>
      <c r="AW141" s="11">
        <f t="shared" si="54"/>
        <v>1408016796.2881227</v>
      </c>
      <c r="AY141" s="11">
        <f t="shared" si="55"/>
        <v>3.0123811128485589</v>
      </c>
      <c r="AZ141" s="11">
        <f t="shared" si="56"/>
        <v>4.0123811128485585</v>
      </c>
      <c r="BG141">
        <v>4.5244</v>
      </c>
      <c r="BH141" s="11">
        <f t="shared" si="57"/>
        <v>45244000000</v>
      </c>
      <c r="BI141">
        <v>1743674.0511308019</v>
      </c>
      <c r="BJ141" s="11">
        <f t="shared" si="58"/>
        <v>1408016796.2881227</v>
      </c>
      <c r="BL141" s="11">
        <f t="shared" si="59"/>
        <v>32.133139405207572</v>
      </c>
      <c r="BM141" s="11">
        <f t="shared" si="60"/>
        <v>31.133139405207572</v>
      </c>
    </row>
    <row r="142" spans="1:65" x14ac:dyDescent="0.3">
      <c r="A142" t="s">
        <v>49</v>
      </c>
      <c r="B142">
        <v>5.7210999999999999</v>
      </c>
      <c r="C142">
        <f t="shared" si="46"/>
        <v>5721100000</v>
      </c>
      <c r="D142">
        <v>2001213.0923556429</v>
      </c>
      <c r="E142">
        <f t="shared" si="47"/>
        <v>1615979572.0771816</v>
      </c>
      <c r="H142" s="8">
        <f t="shared" si="48"/>
        <v>2.5403294069157649</v>
      </c>
      <c r="Y142">
        <v>8.4832000000000001</v>
      </c>
      <c r="Z142" s="11">
        <f t="shared" si="49"/>
        <v>8483200000</v>
      </c>
      <c r="AA142">
        <v>2973267.2988718296</v>
      </c>
      <c r="AB142" s="11">
        <f t="shared" si="50"/>
        <v>2400913343.8390026</v>
      </c>
      <c r="AD142" s="8">
        <f t="shared" si="51"/>
        <v>2.5333220258735234</v>
      </c>
      <c r="AE142" s="8">
        <f t="shared" si="52"/>
        <v>3.5333220258735234</v>
      </c>
      <c r="AT142">
        <v>6.4839000000000002</v>
      </c>
      <c r="AU142" s="11">
        <f t="shared" si="53"/>
        <v>6483900000</v>
      </c>
      <c r="AV142">
        <v>2001213.0923556429</v>
      </c>
      <c r="AW142" s="11">
        <f t="shared" si="54"/>
        <v>1615979572.0771816</v>
      </c>
      <c r="AY142" s="11">
        <f t="shared" si="55"/>
        <v>3.012365076908484</v>
      </c>
      <c r="AZ142" s="11">
        <f t="shared" si="56"/>
        <v>4.012365076908484</v>
      </c>
      <c r="BG142">
        <v>5.1927000000000003</v>
      </c>
      <c r="BH142" s="11">
        <f t="shared" si="57"/>
        <v>51927000000</v>
      </c>
      <c r="BI142">
        <v>2001213.0923556429</v>
      </c>
      <c r="BJ142" s="11">
        <f t="shared" si="58"/>
        <v>1615979572.0771816</v>
      </c>
      <c r="BL142" s="11">
        <f t="shared" si="59"/>
        <v>32.133450754735094</v>
      </c>
      <c r="BM142" s="11">
        <f t="shared" si="60"/>
        <v>31.133450754735094</v>
      </c>
    </row>
    <row r="143" spans="1:65" x14ac:dyDescent="0.3">
      <c r="A143" t="s">
        <v>50</v>
      </c>
      <c r="B143">
        <v>5.9622999999999999</v>
      </c>
      <c r="C143">
        <f t="shared" si="46"/>
        <v>5962300000</v>
      </c>
      <c r="D143">
        <v>2085561.1241718559</v>
      </c>
      <c r="E143">
        <f t="shared" si="47"/>
        <v>1684090607.7687736</v>
      </c>
      <c r="H143" s="8">
        <f t="shared" si="48"/>
        <v>2.5403677049772053</v>
      </c>
      <c r="Y143">
        <v>8.8407</v>
      </c>
      <c r="Z143" s="11">
        <f t="shared" si="49"/>
        <v>8840700000</v>
      </c>
      <c r="AA143">
        <v>3098585.9097090899</v>
      </c>
      <c r="AB143" s="11">
        <f t="shared" si="50"/>
        <v>2502108122.0900903</v>
      </c>
      <c r="AD143" s="8">
        <f t="shared" si="51"/>
        <v>2.5333005484251747</v>
      </c>
      <c r="AE143" s="8">
        <f t="shared" si="52"/>
        <v>3.5333005484251747</v>
      </c>
      <c r="AT143">
        <v>6.7572000000000001</v>
      </c>
      <c r="AU143" s="11">
        <f t="shared" si="53"/>
        <v>6757200000</v>
      </c>
      <c r="AV143">
        <v>2085561.1241718559</v>
      </c>
      <c r="AW143" s="11">
        <f t="shared" si="54"/>
        <v>1684090607.7687736</v>
      </c>
      <c r="AY143" s="11">
        <f t="shared" si="55"/>
        <v>3.0123731875403741</v>
      </c>
      <c r="AZ143" s="11">
        <f t="shared" si="56"/>
        <v>4.0123731875403745</v>
      </c>
      <c r="BG143">
        <v>5.4115000000000002</v>
      </c>
      <c r="BH143" s="11">
        <f t="shared" si="57"/>
        <v>54115000000</v>
      </c>
      <c r="BI143">
        <v>2085561.1241718559</v>
      </c>
      <c r="BJ143" s="11">
        <f t="shared" si="58"/>
        <v>1684090607.7687736</v>
      </c>
      <c r="BL143" s="11">
        <f t="shared" si="59"/>
        <v>32.133069177136591</v>
      </c>
      <c r="BM143" s="11">
        <f t="shared" si="60"/>
        <v>31.133069177136587</v>
      </c>
    </row>
    <row r="144" spans="1:65" x14ac:dyDescent="0.3">
      <c r="A144" t="s">
        <v>51</v>
      </c>
      <c r="B144">
        <v>5.3745000000000003</v>
      </c>
      <c r="C144">
        <f t="shared" si="46"/>
        <v>5374500000</v>
      </c>
      <c r="D144">
        <v>1879955.3074680327</v>
      </c>
      <c r="E144">
        <f t="shared" si="47"/>
        <v>1518063910.7804365</v>
      </c>
      <c r="H144" s="8">
        <f t="shared" si="48"/>
        <v>2.5403647776838132</v>
      </c>
      <c r="Y144">
        <v>7.9691999999999998</v>
      </c>
      <c r="Z144" s="11">
        <f t="shared" si="49"/>
        <v>7969200000</v>
      </c>
      <c r="AA144">
        <v>2793110.6689171549</v>
      </c>
      <c r="AB144" s="11">
        <f t="shared" si="50"/>
        <v>2255436865.1506023</v>
      </c>
      <c r="AD144" s="8">
        <f t="shared" si="51"/>
        <v>2.5333287857152555</v>
      </c>
      <c r="AE144" s="8">
        <f t="shared" si="52"/>
        <v>3.5333287857152555</v>
      </c>
      <c r="AT144">
        <v>6.0911</v>
      </c>
      <c r="AU144" s="11">
        <f t="shared" si="53"/>
        <v>6091100000</v>
      </c>
      <c r="AV144">
        <v>1879955.3074680327</v>
      </c>
      <c r="AW144" s="11">
        <f t="shared" si="54"/>
        <v>1518063910.7804365</v>
      </c>
      <c r="AY144" s="11">
        <f t="shared" si="55"/>
        <v>3.0124134147083215</v>
      </c>
      <c r="AZ144" s="11">
        <f t="shared" si="56"/>
        <v>4.0124134147083215</v>
      </c>
      <c r="BG144">
        <v>4.8780000000000001</v>
      </c>
      <c r="BH144" s="11">
        <f t="shared" si="57"/>
        <v>48780000000</v>
      </c>
      <c r="BI144">
        <v>1879955.3074680327</v>
      </c>
      <c r="BJ144" s="11">
        <f t="shared" si="58"/>
        <v>1518063910.7804365</v>
      </c>
      <c r="BL144" s="11">
        <f t="shared" si="59"/>
        <v>32.133034487936811</v>
      </c>
      <c r="BM144" s="11">
        <f t="shared" si="60"/>
        <v>31.133034487936815</v>
      </c>
    </row>
    <row r="145" spans="1:65" x14ac:dyDescent="0.3">
      <c r="A145" t="s">
        <v>52</v>
      </c>
      <c r="B145">
        <v>5.1040999999999999</v>
      </c>
      <c r="C145">
        <f t="shared" si="46"/>
        <v>5104100000</v>
      </c>
      <c r="D145">
        <v>1785370.3711330947</v>
      </c>
      <c r="E145">
        <f t="shared" si="47"/>
        <v>1441686574.6899738</v>
      </c>
      <c r="H145" s="8">
        <f t="shared" si="48"/>
        <v>2.5403672959204786</v>
      </c>
      <c r="Y145">
        <v>7.5682</v>
      </c>
      <c r="Z145" s="11">
        <f t="shared" si="49"/>
        <v>7568200000</v>
      </c>
      <c r="AA145">
        <v>2652582.756500036</v>
      </c>
      <c r="AB145" s="11">
        <f t="shared" si="50"/>
        <v>2141960575.8737791</v>
      </c>
      <c r="AD145" s="8">
        <f t="shared" si="51"/>
        <v>2.533304994146623</v>
      </c>
      <c r="AE145" s="8">
        <f t="shared" si="52"/>
        <v>3.533304994146623</v>
      </c>
      <c r="AT145">
        <v>5.7846000000000002</v>
      </c>
      <c r="AU145" s="11">
        <f t="shared" si="53"/>
        <v>5784600000</v>
      </c>
      <c r="AV145">
        <v>1785370.3711330947</v>
      </c>
      <c r="AW145" s="11">
        <f t="shared" si="54"/>
        <v>1441686574.6899738</v>
      </c>
      <c r="AY145" s="11">
        <f t="shared" si="55"/>
        <v>3.012383899214671</v>
      </c>
      <c r="AZ145" s="11">
        <f t="shared" si="56"/>
        <v>4.0123838992146705</v>
      </c>
      <c r="BG145">
        <v>4.6326000000000001</v>
      </c>
      <c r="BH145" s="11">
        <f t="shared" si="57"/>
        <v>46326000000</v>
      </c>
      <c r="BI145">
        <v>1785370.3711330947</v>
      </c>
      <c r="BJ145" s="11">
        <f t="shared" si="58"/>
        <v>1441686574.6899738</v>
      </c>
      <c r="BL145" s="11">
        <f t="shared" si="59"/>
        <v>32.133197890090727</v>
      </c>
      <c r="BM145" s="11">
        <f t="shared" si="60"/>
        <v>31.133197890090731</v>
      </c>
    </row>
    <row r="146" spans="1:65" x14ac:dyDescent="0.3">
      <c r="A146" t="s">
        <v>53</v>
      </c>
      <c r="B146">
        <v>4.6273999999999997</v>
      </c>
      <c r="C146">
        <f t="shared" si="46"/>
        <v>4627400000</v>
      </c>
      <c r="D146">
        <v>1618621.9986587835</v>
      </c>
      <c r="E146">
        <f t="shared" si="47"/>
        <v>1307037263.9169676</v>
      </c>
      <c r="H146" s="8">
        <f t="shared" si="48"/>
        <v>2.5403734290883735</v>
      </c>
      <c r="Y146">
        <v>6.8613999999999997</v>
      </c>
      <c r="Z146" s="11">
        <f t="shared" si="49"/>
        <v>6861400000</v>
      </c>
      <c r="AA146">
        <v>2404839.2828480755</v>
      </c>
      <c r="AB146" s="11">
        <f t="shared" si="50"/>
        <v>1941907720.899821</v>
      </c>
      <c r="AD146" s="8">
        <f t="shared" si="51"/>
        <v>2.5333295841785084</v>
      </c>
      <c r="AE146" s="8">
        <f t="shared" si="52"/>
        <v>3.5333295841785084</v>
      </c>
      <c r="AT146">
        <v>5.2443999999999997</v>
      </c>
      <c r="AU146" s="11">
        <f t="shared" si="53"/>
        <v>5244400000</v>
      </c>
      <c r="AV146">
        <v>1618621.9986587835</v>
      </c>
      <c r="AW146" s="11">
        <f t="shared" si="54"/>
        <v>1307037263.9169676</v>
      </c>
      <c r="AY146" s="11">
        <f t="shared" si="55"/>
        <v>3.0124334208218579</v>
      </c>
      <c r="AZ146" s="11">
        <f t="shared" si="56"/>
        <v>4.0124334208218579</v>
      </c>
      <c r="BG146">
        <v>4.2</v>
      </c>
      <c r="BH146" s="11">
        <f t="shared" si="57"/>
        <v>42000000000</v>
      </c>
      <c r="BI146">
        <v>1618621.9986587835</v>
      </c>
      <c r="BJ146" s="11">
        <f t="shared" si="58"/>
        <v>1307037263.9169676</v>
      </c>
      <c r="BL146" s="11">
        <f t="shared" si="59"/>
        <v>32.133743359491653</v>
      </c>
      <c r="BM146" s="11">
        <f t="shared" si="60"/>
        <v>31.133743359491653</v>
      </c>
    </row>
    <row r="147" spans="1:65" s="1" customFormat="1" x14ac:dyDescent="0.3">
      <c r="A147" s="1" t="s">
        <v>54</v>
      </c>
      <c r="B147" s="1">
        <v>5.4196999999999997</v>
      </c>
      <c r="C147" s="1">
        <f t="shared" si="46"/>
        <v>5419700000</v>
      </c>
      <c r="D147" s="1">
        <v>1895780.1070339011</v>
      </c>
      <c r="E147" s="1">
        <f t="shared" si="47"/>
        <v>1530842436.4298751</v>
      </c>
      <c r="H147" s="13">
        <f t="shared" si="48"/>
        <v>2.5403382288248091</v>
      </c>
      <c r="Y147" s="1">
        <v>8.0361999999999991</v>
      </c>
      <c r="Z147" s="14">
        <f t="shared" si="49"/>
        <v>8036199999.999999</v>
      </c>
      <c r="AA147" s="1">
        <v>2816622.0876861643</v>
      </c>
      <c r="AB147" s="14">
        <f t="shared" si="50"/>
        <v>2274422335.8065777</v>
      </c>
      <c r="AD147" s="13">
        <f t="shared" si="51"/>
        <v>2.5332927721843377</v>
      </c>
      <c r="AE147" s="13">
        <f t="shared" si="52"/>
        <v>3.5332927721843377</v>
      </c>
      <c r="AT147" s="1">
        <v>6.1422999999999996</v>
      </c>
      <c r="AU147" s="14">
        <f t="shared" si="53"/>
        <v>6142300000</v>
      </c>
      <c r="AV147" s="1">
        <v>1895780.1070339011</v>
      </c>
      <c r="AW147" s="14">
        <f t="shared" si="54"/>
        <v>1530842436.4298751</v>
      </c>
      <c r="AY147" s="14">
        <f t="shared" si="55"/>
        <v>3.0123659063989936</v>
      </c>
      <c r="AZ147" s="14">
        <f t="shared" si="56"/>
        <v>4.012365906398994</v>
      </c>
      <c r="BG147" s="1">
        <v>4.9191000000000003</v>
      </c>
      <c r="BH147" s="14">
        <f t="shared" si="57"/>
        <v>49191000000</v>
      </c>
      <c r="BI147" s="1">
        <v>1895780.1070339011</v>
      </c>
      <c r="BJ147" s="14">
        <f t="shared" si="58"/>
        <v>1530842436.4298751</v>
      </c>
      <c r="BL147" s="14">
        <f t="shared" si="59"/>
        <v>32.133287417038062</v>
      </c>
      <c r="BM147" s="14">
        <f t="shared" si="60"/>
        <v>31.133287417038062</v>
      </c>
    </row>
    <row r="148" spans="1:65" x14ac:dyDescent="0.3">
      <c r="A148" t="s">
        <v>43</v>
      </c>
      <c r="B148">
        <v>4.6307999999999998</v>
      </c>
      <c r="C148">
        <f t="shared" si="46"/>
        <v>4630800000</v>
      </c>
      <c r="D148">
        <v>1619570.610300154</v>
      </c>
      <c r="E148">
        <f t="shared" si="47"/>
        <v>1307803267.8173742</v>
      </c>
      <c r="H148" s="8">
        <f t="shared" si="48"/>
        <v>2.5408995480860503</v>
      </c>
      <c r="Y148">
        <v>6.8959999999999999</v>
      </c>
      <c r="Z148" s="11">
        <f t="shared" si="49"/>
        <v>6896000000</v>
      </c>
      <c r="AA148">
        <v>2416399.3505678298</v>
      </c>
      <c r="AB148" s="11">
        <f t="shared" si="50"/>
        <v>1951242475.5835226</v>
      </c>
      <c r="AD148" s="8">
        <f t="shared" si="51"/>
        <v>2.5341584074207582</v>
      </c>
      <c r="AE148" s="8">
        <f t="shared" si="52"/>
        <v>3.5341584074207582</v>
      </c>
      <c r="AT148">
        <v>5.2366000000000001</v>
      </c>
      <c r="AU148" s="11">
        <f t="shared" si="53"/>
        <v>5236600000</v>
      </c>
      <c r="AV148">
        <v>1619570.610300154</v>
      </c>
      <c r="AW148" s="11">
        <f t="shared" si="54"/>
        <v>1307803267.8173742</v>
      </c>
      <c r="AY148" s="11">
        <f t="shared" si="55"/>
        <v>3.0041190665775699</v>
      </c>
      <c r="AZ148" s="11">
        <f t="shared" si="56"/>
        <v>4.0041190665775694</v>
      </c>
      <c r="BG148">
        <v>4.2286999999999999</v>
      </c>
      <c r="BH148" s="11">
        <f t="shared" si="57"/>
        <v>42287000000</v>
      </c>
      <c r="BI148">
        <v>1619570.610300154</v>
      </c>
      <c r="BJ148" s="11">
        <f t="shared" si="58"/>
        <v>1307803267.8173742</v>
      </c>
      <c r="BL148" s="11">
        <f t="shared" si="59"/>
        <v>32.334374015270534</v>
      </c>
      <c r="BM148" s="11">
        <f t="shared" si="60"/>
        <v>31.334374015270537</v>
      </c>
    </row>
    <row r="149" spans="1:65" x14ac:dyDescent="0.3">
      <c r="A149" t="s">
        <v>44</v>
      </c>
      <c r="B149">
        <v>4.1890999999999998</v>
      </c>
      <c r="C149">
        <f t="shared" si="46"/>
        <v>4189100000</v>
      </c>
      <c r="D149">
        <v>1465089.3398962023</v>
      </c>
      <c r="E149">
        <f t="shared" si="47"/>
        <v>1183059641.9661834</v>
      </c>
      <c r="H149" s="8">
        <f t="shared" si="48"/>
        <v>2.5409034772227832</v>
      </c>
      <c r="Y149">
        <v>6.2382</v>
      </c>
      <c r="Z149" s="11">
        <f t="shared" si="49"/>
        <v>6238200000</v>
      </c>
      <c r="AA149">
        <v>2185913.2951251338</v>
      </c>
      <c r="AB149" s="11">
        <f t="shared" si="50"/>
        <v>1765124985.8135455</v>
      </c>
      <c r="AD149" s="8">
        <f t="shared" si="51"/>
        <v>2.5341406700017992</v>
      </c>
      <c r="AE149" s="8">
        <f t="shared" si="52"/>
        <v>3.5341406700017992</v>
      </c>
      <c r="AT149">
        <v>4.7370999999999999</v>
      </c>
      <c r="AU149" s="11">
        <f t="shared" si="53"/>
        <v>4737100000</v>
      </c>
      <c r="AV149">
        <v>1465089.3398962023</v>
      </c>
      <c r="AW149" s="11">
        <f t="shared" si="54"/>
        <v>1183059641.9661834</v>
      </c>
      <c r="AY149" s="11">
        <f t="shared" si="55"/>
        <v>3.0041092029199699</v>
      </c>
      <c r="AZ149" s="11">
        <f t="shared" si="56"/>
        <v>4.0041092029199703</v>
      </c>
      <c r="BG149">
        <v>3.8252999999999999</v>
      </c>
      <c r="BH149" s="11">
        <f t="shared" si="57"/>
        <v>38253000000</v>
      </c>
      <c r="BI149">
        <v>1465089.3398962023</v>
      </c>
      <c r="BJ149" s="11">
        <f t="shared" si="58"/>
        <v>1183059641.9661834</v>
      </c>
      <c r="BL149" s="11">
        <f t="shared" si="59"/>
        <v>32.333957345062935</v>
      </c>
      <c r="BM149" s="11">
        <f t="shared" si="60"/>
        <v>31.333957345062931</v>
      </c>
    </row>
    <row r="150" spans="1:65" x14ac:dyDescent="0.3">
      <c r="A150" t="s">
        <v>45</v>
      </c>
      <c r="B150">
        <v>4.7737999999999996</v>
      </c>
      <c r="C150">
        <f t="shared" si="46"/>
        <v>4773800000</v>
      </c>
      <c r="D150">
        <v>1669565.9067287147</v>
      </c>
      <c r="E150">
        <f t="shared" si="47"/>
        <v>1348174469.6834371</v>
      </c>
      <c r="H150" s="8">
        <f t="shared" si="48"/>
        <v>2.5409363605000834</v>
      </c>
      <c r="Y150">
        <v>7.1089000000000002</v>
      </c>
      <c r="Z150" s="11">
        <f t="shared" si="49"/>
        <v>7108900000</v>
      </c>
      <c r="AA150">
        <v>2490992.3328392422</v>
      </c>
      <c r="AB150" s="11">
        <f t="shared" si="50"/>
        <v>2011476308.767688</v>
      </c>
      <c r="AD150" s="8">
        <f t="shared" si="51"/>
        <v>2.5341703847137036</v>
      </c>
      <c r="AE150" s="8">
        <f t="shared" si="52"/>
        <v>3.5341703847137032</v>
      </c>
      <c r="AT150">
        <v>5.3982000000000001</v>
      </c>
      <c r="AU150" s="11">
        <f t="shared" si="53"/>
        <v>5398200000</v>
      </c>
      <c r="AV150">
        <v>1669565.9067287147</v>
      </c>
      <c r="AW150" s="11">
        <f t="shared" si="54"/>
        <v>1348174469.6834371</v>
      </c>
      <c r="AY150" s="11">
        <f t="shared" si="55"/>
        <v>3.0040811641148664</v>
      </c>
      <c r="AZ150" s="11">
        <f t="shared" si="56"/>
        <v>4.0040811641148668</v>
      </c>
      <c r="BG150">
        <v>4.3592000000000004</v>
      </c>
      <c r="BH150" s="11">
        <f t="shared" si="57"/>
        <v>43592000000.000008</v>
      </c>
      <c r="BI150">
        <v>1669565.9067287147</v>
      </c>
      <c r="BJ150" s="11">
        <f t="shared" si="58"/>
        <v>1348174469.6834371</v>
      </c>
      <c r="BL150" s="11">
        <f t="shared" si="59"/>
        <v>32.334093976898835</v>
      </c>
      <c r="BM150" s="11">
        <f t="shared" si="60"/>
        <v>31.334093976898838</v>
      </c>
    </row>
    <row r="151" spans="1:65" x14ac:dyDescent="0.3">
      <c r="A151" t="s">
        <v>46</v>
      </c>
      <c r="B151">
        <v>4.5076999999999998</v>
      </c>
      <c r="C151">
        <f t="shared" si="46"/>
        <v>4507700000</v>
      </c>
      <c r="D151">
        <v>1576527.7366339669</v>
      </c>
      <c r="E151">
        <f t="shared" si="47"/>
        <v>1273046147.3319283</v>
      </c>
      <c r="H151" s="8">
        <f t="shared" si="48"/>
        <v>2.540877139015985</v>
      </c>
      <c r="Y151">
        <v>6.7126999999999999</v>
      </c>
      <c r="Z151" s="11">
        <f t="shared" si="49"/>
        <v>6712700000</v>
      </c>
      <c r="AA151">
        <v>2352179.3830578788</v>
      </c>
      <c r="AB151" s="11">
        <f t="shared" si="50"/>
        <v>1899384851.8192372</v>
      </c>
      <c r="AD151" s="8">
        <f t="shared" si="51"/>
        <v>2.5341442223099513</v>
      </c>
      <c r="AE151" s="8">
        <f t="shared" si="52"/>
        <v>3.5341442223099513</v>
      </c>
      <c r="AT151">
        <v>5.0974000000000004</v>
      </c>
      <c r="AU151" s="11">
        <f t="shared" si="53"/>
        <v>5097400000</v>
      </c>
      <c r="AV151">
        <v>1576527.7366339669</v>
      </c>
      <c r="AW151" s="11">
        <f t="shared" si="54"/>
        <v>1273046147.3319283</v>
      </c>
      <c r="AY151" s="11">
        <f t="shared" si="55"/>
        <v>3.004096796242004</v>
      </c>
      <c r="AZ151" s="11">
        <f t="shared" si="56"/>
        <v>4.0040967962420035</v>
      </c>
      <c r="BG151">
        <v>4.1162999999999998</v>
      </c>
      <c r="BH151" s="11">
        <f t="shared" si="57"/>
        <v>41163000000</v>
      </c>
      <c r="BI151">
        <v>1576527.7366339669</v>
      </c>
      <c r="BJ151" s="11">
        <f t="shared" si="58"/>
        <v>1273046147.3319283</v>
      </c>
      <c r="BL151" s="11">
        <f t="shared" si="59"/>
        <v>32.334255978284929</v>
      </c>
      <c r="BM151" s="11">
        <f t="shared" si="60"/>
        <v>31.334255978284933</v>
      </c>
    </row>
    <row r="152" spans="1:65" x14ac:dyDescent="0.3">
      <c r="A152" t="s">
        <v>47</v>
      </c>
      <c r="B152">
        <v>4.6456999999999997</v>
      </c>
      <c r="C152">
        <f t="shared" si="46"/>
        <v>4645700000</v>
      </c>
      <c r="D152">
        <v>1624763.2643241596</v>
      </c>
      <c r="E152">
        <f t="shared" si="47"/>
        <v>1311996335.9417589</v>
      </c>
      <c r="H152" s="8">
        <f t="shared" si="48"/>
        <v>2.5409397669279987</v>
      </c>
      <c r="Y152">
        <v>6.9180999999999999</v>
      </c>
      <c r="Z152" s="11">
        <f t="shared" si="49"/>
        <v>6918100000</v>
      </c>
      <c r="AA152">
        <v>2424146.7903716462</v>
      </c>
      <c r="AB152" s="11">
        <f t="shared" si="50"/>
        <v>1957498533.2251043</v>
      </c>
      <c r="AD152" s="8">
        <f t="shared" si="51"/>
        <v>2.5341533506040421</v>
      </c>
      <c r="AE152" s="8">
        <f t="shared" si="52"/>
        <v>3.5341533506040421</v>
      </c>
      <c r="AT152">
        <v>5.2534000000000001</v>
      </c>
      <c r="AU152" s="11">
        <f t="shared" si="53"/>
        <v>5253400000</v>
      </c>
      <c r="AV152">
        <v>1624763.2643241596</v>
      </c>
      <c r="AW152" s="11">
        <f t="shared" si="54"/>
        <v>1311996335.9417589</v>
      </c>
      <c r="AY152" s="11">
        <f t="shared" si="55"/>
        <v>3.0041270360934944</v>
      </c>
      <c r="AZ152" s="11">
        <f t="shared" si="56"/>
        <v>4.0041270360934949</v>
      </c>
      <c r="BG152">
        <v>4.2422000000000004</v>
      </c>
      <c r="BH152" s="11">
        <f t="shared" si="57"/>
        <v>42422000000.000008</v>
      </c>
      <c r="BI152">
        <v>1624763.2643241596</v>
      </c>
      <c r="BJ152" s="11">
        <f t="shared" si="58"/>
        <v>1311996335.9417589</v>
      </c>
      <c r="BL152" s="11">
        <f t="shared" si="59"/>
        <v>32.33393176326917</v>
      </c>
      <c r="BM152" s="11">
        <f t="shared" si="60"/>
        <v>31.333931763269174</v>
      </c>
    </row>
    <row r="153" spans="1:65" x14ac:dyDescent="0.3">
      <c r="A153" t="s">
        <v>48</v>
      </c>
      <c r="B153">
        <v>5.0810000000000004</v>
      </c>
      <c r="C153">
        <f t="shared" si="46"/>
        <v>5081000000</v>
      </c>
      <c r="D153">
        <v>1776992.6635727917</v>
      </c>
      <c r="E153">
        <f t="shared" si="47"/>
        <v>1434921575.8350294</v>
      </c>
      <c r="H153" s="8">
        <f t="shared" si="48"/>
        <v>2.5409600674818722</v>
      </c>
      <c r="Y153">
        <v>7.5663</v>
      </c>
      <c r="Z153" s="11">
        <f t="shared" si="49"/>
        <v>7566300000</v>
      </c>
      <c r="AA153">
        <v>2651273.0540506053</v>
      </c>
      <c r="AB153" s="11">
        <f t="shared" si="50"/>
        <v>2140902991.1458638</v>
      </c>
      <c r="AD153" s="8">
        <f t="shared" si="51"/>
        <v>2.5341629355893098</v>
      </c>
      <c r="AE153" s="8">
        <f t="shared" si="52"/>
        <v>3.5341629355893098</v>
      </c>
      <c r="AT153">
        <v>5.7455999999999996</v>
      </c>
      <c r="AU153" s="11">
        <f t="shared" si="53"/>
        <v>5745600000</v>
      </c>
      <c r="AV153">
        <v>1776992.6635727917</v>
      </c>
      <c r="AW153" s="11">
        <f t="shared" si="54"/>
        <v>1434921575.8350294</v>
      </c>
      <c r="AY153" s="11">
        <f t="shared" si="55"/>
        <v>3.0041212681999299</v>
      </c>
      <c r="AZ153" s="11">
        <f t="shared" si="56"/>
        <v>4.0041212681999303</v>
      </c>
      <c r="BG153">
        <v>4.6397000000000004</v>
      </c>
      <c r="BH153" s="11">
        <f t="shared" si="57"/>
        <v>46397000000</v>
      </c>
      <c r="BI153">
        <v>1776992.6635727917</v>
      </c>
      <c r="BJ153" s="11">
        <f t="shared" si="58"/>
        <v>1434921575.8350294</v>
      </c>
      <c r="BL153" s="11">
        <f t="shared" si="59"/>
        <v>32.334171275527737</v>
      </c>
      <c r="BM153" s="11">
        <f t="shared" si="60"/>
        <v>31.334171275527737</v>
      </c>
    </row>
    <row r="154" spans="1:65" x14ac:dyDescent="0.3">
      <c r="A154" t="s">
        <v>49</v>
      </c>
      <c r="B154">
        <v>5.8314000000000004</v>
      </c>
      <c r="C154">
        <f t="shared" si="46"/>
        <v>5831400000</v>
      </c>
      <c r="D154">
        <v>2039452.8329739035</v>
      </c>
      <c r="E154">
        <f t="shared" si="47"/>
        <v>1646858162.6264272</v>
      </c>
      <c r="H154" s="8">
        <f t="shared" si="48"/>
        <v>2.5409242473559597</v>
      </c>
      <c r="Y154">
        <v>8.6838999999999995</v>
      </c>
      <c r="Z154" s="11">
        <f t="shared" si="49"/>
        <v>8683900000</v>
      </c>
      <c r="AA154">
        <v>3042863.6267970642</v>
      </c>
      <c r="AB154" s="11">
        <f t="shared" si="50"/>
        <v>2457112378.6386294</v>
      </c>
      <c r="AD154" s="8">
        <f t="shared" si="51"/>
        <v>2.5341891870697997</v>
      </c>
      <c r="AE154" s="8">
        <f t="shared" si="52"/>
        <v>3.5341891870697997</v>
      </c>
      <c r="AT154">
        <v>6.5941999999999998</v>
      </c>
      <c r="AU154" s="11">
        <f t="shared" si="53"/>
        <v>6594200000</v>
      </c>
      <c r="AV154">
        <v>2039452.8329739035</v>
      </c>
      <c r="AW154" s="11">
        <f t="shared" si="54"/>
        <v>1646858162.6264272</v>
      </c>
      <c r="AY154" s="11">
        <f t="shared" si="55"/>
        <v>3.0041092485363152</v>
      </c>
      <c r="AZ154" s="11">
        <f t="shared" si="56"/>
        <v>4.0041092485363148</v>
      </c>
      <c r="BG154">
        <v>5.3250000000000002</v>
      </c>
      <c r="BH154" s="11">
        <f t="shared" si="57"/>
        <v>53250000000</v>
      </c>
      <c r="BI154">
        <v>2039452.8329739035</v>
      </c>
      <c r="BJ154" s="11">
        <f t="shared" si="58"/>
        <v>1646858162.6264272</v>
      </c>
      <c r="BL154" s="11">
        <f t="shared" si="59"/>
        <v>32.33429642482163</v>
      </c>
      <c r="BM154" s="11">
        <f t="shared" si="60"/>
        <v>31.334296424821627</v>
      </c>
    </row>
    <row r="155" spans="1:65" x14ac:dyDescent="0.3">
      <c r="A155" t="s">
        <v>50</v>
      </c>
      <c r="B155">
        <v>6.0772000000000004</v>
      </c>
      <c r="C155">
        <f t="shared" si="46"/>
        <v>6077200000</v>
      </c>
      <c r="D155">
        <v>2125412.6106209997</v>
      </c>
      <c r="E155">
        <f t="shared" si="47"/>
        <v>1716270683.0764573</v>
      </c>
      <c r="H155" s="8">
        <f t="shared" si="48"/>
        <v>2.5409332921229359</v>
      </c>
      <c r="Y155">
        <v>9.0498999999999992</v>
      </c>
      <c r="Z155" s="11">
        <f t="shared" si="49"/>
        <v>9049900000</v>
      </c>
      <c r="AA155">
        <v>3171115.6150465314</v>
      </c>
      <c r="AB155" s="11">
        <f t="shared" si="50"/>
        <v>2560675859.150074</v>
      </c>
      <c r="AD155" s="8">
        <f t="shared" si="51"/>
        <v>2.5341841364505209</v>
      </c>
      <c r="AE155" s="8">
        <f t="shared" si="52"/>
        <v>3.5341841364505209</v>
      </c>
      <c r="AT155">
        <v>6.8722000000000003</v>
      </c>
      <c r="AU155" s="11">
        <f t="shared" si="53"/>
        <v>6872200000</v>
      </c>
      <c r="AV155">
        <v>2125412.6106209997</v>
      </c>
      <c r="AW155" s="11">
        <f t="shared" si="54"/>
        <v>1716270683.0764573</v>
      </c>
      <c r="AY155" s="11">
        <f t="shared" si="55"/>
        <v>3.0041469377554204</v>
      </c>
      <c r="AZ155" s="11">
        <f t="shared" si="56"/>
        <v>4.0041469377554204</v>
      </c>
      <c r="BG155">
        <v>5.5495000000000001</v>
      </c>
      <c r="BH155" s="11">
        <f t="shared" si="57"/>
        <v>55495000000</v>
      </c>
      <c r="BI155">
        <v>2125412.6106209997</v>
      </c>
      <c r="BJ155" s="11">
        <f t="shared" si="58"/>
        <v>1716270683.0764573</v>
      </c>
      <c r="BL155" s="11">
        <f t="shared" si="59"/>
        <v>32.334643099842417</v>
      </c>
      <c r="BM155" s="11">
        <f t="shared" si="60"/>
        <v>31.334643099842417</v>
      </c>
    </row>
    <row r="156" spans="1:65" x14ac:dyDescent="0.3">
      <c r="A156" t="s">
        <v>51</v>
      </c>
      <c r="B156">
        <v>5.4781000000000004</v>
      </c>
      <c r="C156">
        <f t="shared" si="46"/>
        <v>5478100000</v>
      </c>
      <c r="D156">
        <v>1915878.0203495875</v>
      </c>
      <c r="E156">
        <f t="shared" si="47"/>
        <v>1547071501.432292</v>
      </c>
      <c r="H156" s="8">
        <f t="shared" si="48"/>
        <v>2.5409481688004258</v>
      </c>
      <c r="Y156">
        <v>8.1577000000000002</v>
      </c>
      <c r="Z156" s="11">
        <f t="shared" si="49"/>
        <v>8157700000</v>
      </c>
      <c r="AA156">
        <v>2858490.0063615846</v>
      </c>
      <c r="AB156" s="11">
        <f t="shared" si="50"/>
        <v>2308230680.1369796</v>
      </c>
      <c r="AD156" s="8">
        <f t="shared" si="51"/>
        <v>2.5341788280519211</v>
      </c>
      <c r="AE156" s="8">
        <f t="shared" si="52"/>
        <v>3.5341788280519215</v>
      </c>
      <c r="AT156">
        <v>6.1947000000000001</v>
      </c>
      <c r="AU156" s="11">
        <f t="shared" si="53"/>
        <v>6194700000</v>
      </c>
      <c r="AV156">
        <v>1915878.0203495875</v>
      </c>
      <c r="AW156" s="11">
        <f t="shared" si="54"/>
        <v>1547071501.432292</v>
      </c>
      <c r="AY156" s="11">
        <f t="shared" si="55"/>
        <v>3.0041458938807248</v>
      </c>
      <c r="AZ156" s="11">
        <f t="shared" si="56"/>
        <v>4.0041458938807253</v>
      </c>
      <c r="BG156">
        <v>5.0023999999999997</v>
      </c>
      <c r="BH156" s="11">
        <f t="shared" si="57"/>
        <v>50024000000</v>
      </c>
      <c r="BI156">
        <v>1915878.0203495875</v>
      </c>
      <c r="BJ156" s="11">
        <f t="shared" si="58"/>
        <v>1547071501.432292</v>
      </c>
      <c r="BL156" s="11">
        <f t="shared" si="59"/>
        <v>32.33463996569477</v>
      </c>
      <c r="BM156" s="11">
        <f t="shared" si="60"/>
        <v>31.33463996569477</v>
      </c>
    </row>
    <row r="157" spans="1:65" x14ac:dyDescent="0.3">
      <c r="A157" t="s">
        <v>52</v>
      </c>
      <c r="B157">
        <v>5.2024999999999997</v>
      </c>
      <c r="C157">
        <f t="shared" si="46"/>
        <v>5202500000</v>
      </c>
      <c r="D157">
        <v>1819485.7285432813</v>
      </c>
      <c r="E157">
        <f t="shared" si="47"/>
        <v>1469234725.7986996</v>
      </c>
      <c r="H157" s="8">
        <f t="shared" si="48"/>
        <v>2.5409590507546964</v>
      </c>
      <c r="Y157">
        <v>7.7473000000000001</v>
      </c>
      <c r="Z157" s="11">
        <f t="shared" si="49"/>
        <v>7747300000</v>
      </c>
      <c r="AA157">
        <v>2714672.7069865754</v>
      </c>
      <c r="AB157" s="11">
        <f t="shared" si="50"/>
        <v>2192098210.8916597</v>
      </c>
      <c r="AD157" s="8">
        <f t="shared" si="51"/>
        <v>2.5341938429157795</v>
      </c>
      <c r="AE157" s="8">
        <f t="shared" si="52"/>
        <v>3.5341938429157795</v>
      </c>
      <c r="AT157">
        <v>5.883</v>
      </c>
      <c r="AU157" s="11">
        <f t="shared" si="53"/>
        <v>5883000000</v>
      </c>
      <c r="AV157">
        <v>1819485.7285432813</v>
      </c>
      <c r="AW157" s="11">
        <f t="shared" si="54"/>
        <v>1469234725.7986996</v>
      </c>
      <c r="AY157" s="11">
        <f t="shared" si="55"/>
        <v>3.0041253427371224</v>
      </c>
      <c r="AZ157" s="11">
        <f t="shared" si="56"/>
        <v>4.0041253427371224</v>
      </c>
      <c r="BG157">
        <v>4.7507000000000001</v>
      </c>
      <c r="BH157" s="11">
        <f t="shared" si="57"/>
        <v>47507000000</v>
      </c>
      <c r="BI157">
        <v>1819485.7285432813</v>
      </c>
      <c r="BJ157" s="11">
        <f t="shared" si="58"/>
        <v>1469234725.7986996</v>
      </c>
      <c r="BL157" s="11">
        <f t="shared" si="59"/>
        <v>32.334520254532123</v>
      </c>
      <c r="BM157" s="11">
        <f t="shared" si="60"/>
        <v>31.334520254532123</v>
      </c>
    </row>
    <row r="158" spans="1:65" x14ac:dyDescent="0.3">
      <c r="A158" t="s">
        <v>53</v>
      </c>
      <c r="B158">
        <v>4.7165999999999997</v>
      </c>
      <c r="C158">
        <f t="shared" si="46"/>
        <v>4716600000</v>
      </c>
      <c r="D158">
        <v>1649551.0814357027</v>
      </c>
      <c r="E158">
        <f t="shared" si="47"/>
        <v>1332012498.25933</v>
      </c>
      <c r="H158" s="8">
        <f t="shared" si="48"/>
        <v>2.5409577659095834</v>
      </c>
      <c r="Y158">
        <v>7.0236999999999998</v>
      </c>
      <c r="Z158" s="11">
        <f t="shared" si="49"/>
        <v>7023700000</v>
      </c>
      <c r="AA158">
        <v>2461130.2135020685</v>
      </c>
      <c r="AB158" s="11">
        <f t="shared" si="50"/>
        <v>1987362647.4029202</v>
      </c>
      <c r="AD158" s="8">
        <f t="shared" si="51"/>
        <v>2.5341813479178303</v>
      </c>
      <c r="AE158" s="8">
        <f t="shared" si="52"/>
        <v>3.5341813479178299</v>
      </c>
      <c r="AT158">
        <v>5.3335999999999997</v>
      </c>
      <c r="AU158" s="11">
        <f t="shared" si="53"/>
        <v>5333600000</v>
      </c>
      <c r="AV158">
        <v>1649551.0814357027</v>
      </c>
      <c r="AW158" s="11">
        <f t="shared" si="54"/>
        <v>1332012498.25933</v>
      </c>
      <c r="AY158" s="11">
        <f t="shared" si="55"/>
        <v>3.0041666327980652</v>
      </c>
      <c r="AZ158" s="11">
        <f t="shared" si="56"/>
        <v>4.0041666327980652</v>
      </c>
      <c r="BG158">
        <v>4.3070000000000004</v>
      </c>
      <c r="BH158" s="11">
        <f t="shared" si="57"/>
        <v>43070000000.000008</v>
      </c>
      <c r="BI158">
        <v>1649551.0814357027</v>
      </c>
      <c r="BJ158" s="11">
        <f t="shared" si="58"/>
        <v>1332012498.25933</v>
      </c>
      <c r="BL158" s="11">
        <f t="shared" si="59"/>
        <v>32.334531437418008</v>
      </c>
      <c r="BM158" s="11">
        <f t="shared" si="60"/>
        <v>31.334531437418008</v>
      </c>
    </row>
    <row r="159" spans="1:65" s="1" customFormat="1" x14ac:dyDescent="0.3">
      <c r="A159" s="1" t="s">
        <v>54</v>
      </c>
      <c r="B159" s="1">
        <v>5.5242000000000004</v>
      </c>
      <c r="C159" s="1">
        <f t="shared" si="46"/>
        <v>5524200000</v>
      </c>
      <c r="D159" s="1">
        <v>1932005.2046205364</v>
      </c>
      <c r="E159" s="1">
        <f t="shared" si="47"/>
        <v>1560094202.7310832</v>
      </c>
      <c r="H159" s="13">
        <f t="shared" si="48"/>
        <v>2.540940021653435</v>
      </c>
      <c r="J159" s="1">
        <f>(SUM(E148:E159)-SUM(E4:E15))/(SUM(E4:E15))</f>
        <v>0.29032258064516181</v>
      </c>
      <c r="K159" s="1">
        <f>(SUM(C148:C159)-SUM(C4:C15))/(SUM(C4:C15))</f>
        <v>0.29357860772802008</v>
      </c>
      <c r="Y159" s="1">
        <v>8.2263999999999999</v>
      </c>
      <c r="Z159" s="14">
        <f t="shared" si="49"/>
        <v>8226400000</v>
      </c>
      <c r="AA159" s="1">
        <v>2882551.7652938403</v>
      </c>
      <c r="AB159" s="14">
        <f t="shared" si="50"/>
        <v>2327660550.4747763</v>
      </c>
      <c r="AD159" s="13">
        <f t="shared" si="51"/>
        <v>2.5341923023621504</v>
      </c>
      <c r="AE159" s="13">
        <f t="shared" si="52"/>
        <v>3.5341923023621504</v>
      </c>
      <c r="AT159" s="1">
        <v>6.2468000000000004</v>
      </c>
      <c r="AU159" s="14">
        <f t="shared" si="53"/>
        <v>6246800000</v>
      </c>
      <c r="AV159" s="1">
        <v>1932005.2046205364</v>
      </c>
      <c r="AW159" s="14">
        <f t="shared" si="54"/>
        <v>1560094202.7310832</v>
      </c>
      <c r="AY159" s="14">
        <f t="shared" si="55"/>
        <v>3.0041171802731035</v>
      </c>
      <c r="AZ159" s="14">
        <f t="shared" si="56"/>
        <v>4.004117180273103</v>
      </c>
      <c r="BG159" s="1">
        <v>5.0445000000000002</v>
      </c>
      <c r="BH159" s="14">
        <f t="shared" si="57"/>
        <v>50445000000</v>
      </c>
      <c r="BI159" s="1">
        <v>1932005.2046205364</v>
      </c>
      <c r="BJ159" s="14">
        <f t="shared" si="58"/>
        <v>1560094202.7310832</v>
      </c>
      <c r="BL159" s="14">
        <f t="shared" si="59"/>
        <v>32.334585893397694</v>
      </c>
      <c r="BM159" s="14">
        <f t="shared" si="60"/>
        <v>31.334585893397691</v>
      </c>
    </row>
  </sheetData>
  <mergeCells count="9">
    <mergeCell ref="BG2:BH2"/>
    <mergeCell ref="BQ2:BR2"/>
    <mergeCell ref="BS2:BT2"/>
    <mergeCell ref="AJ6:AK6"/>
    <mergeCell ref="B2:C2"/>
    <mergeCell ref="D2:E2"/>
    <mergeCell ref="Y2:Z2"/>
    <mergeCell ref="AA2:AB2"/>
    <mergeCell ref="AH6:AI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A476B-CC92-4038-98B9-1B348D0048AB}">
  <dimension ref="A2:I31"/>
  <sheetViews>
    <sheetView workbookViewId="0">
      <selection activeCell="B3" sqref="B3"/>
    </sheetView>
  </sheetViews>
  <sheetFormatPr defaultRowHeight="14.4" x14ac:dyDescent="0.3"/>
  <cols>
    <col min="2" max="2" width="12.77734375" customWidth="1"/>
  </cols>
  <sheetData>
    <row r="2" spans="1:7" x14ac:dyDescent="0.3">
      <c r="C2" t="s">
        <v>12</v>
      </c>
      <c r="D2" t="s">
        <v>31</v>
      </c>
      <c r="E2" t="s">
        <v>13</v>
      </c>
    </row>
    <row r="3" spans="1:7" x14ac:dyDescent="0.3">
      <c r="A3" t="s">
        <v>0</v>
      </c>
      <c r="B3" t="s">
        <v>1</v>
      </c>
      <c r="C3">
        <v>3.9100000000000003E-2</v>
      </c>
      <c r="D3">
        <f>C3/$C$11</f>
        <v>3.7796036732721125E-2</v>
      </c>
      <c r="E3">
        <v>1.6</v>
      </c>
    </row>
    <row r="4" spans="1:7" x14ac:dyDescent="0.3">
      <c r="B4" t="s">
        <v>2</v>
      </c>
      <c r="C4">
        <v>1.2699999999999999E-2</v>
      </c>
      <c r="D4">
        <f t="shared" ref="D4:D10" si="0">C4/$C$11</f>
        <v>1.2276462058965683E-2</v>
      </c>
      <c r="E4">
        <f>1.9</f>
        <v>1.9</v>
      </c>
    </row>
    <row r="5" spans="1:7" x14ac:dyDescent="0.3">
      <c r="B5" t="s">
        <v>3</v>
      </c>
      <c r="C5">
        <v>2.2100000000000002E-2</v>
      </c>
      <c r="D5">
        <f t="shared" si="0"/>
        <v>2.1362977283711941E-2</v>
      </c>
    </row>
    <row r="6" spans="1:7" x14ac:dyDescent="0.3">
      <c r="B6" t="s">
        <v>4</v>
      </c>
      <c r="C6">
        <v>0.2132</v>
      </c>
      <c r="D6">
        <f t="shared" si="0"/>
        <v>0.20608989850169165</v>
      </c>
      <c r="E6">
        <v>17.8</v>
      </c>
    </row>
    <row r="7" spans="1:7" x14ac:dyDescent="0.3">
      <c r="A7" t="s">
        <v>5</v>
      </c>
      <c r="B7" s="1" t="s">
        <v>6</v>
      </c>
      <c r="C7" s="1">
        <v>0.2636</v>
      </c>
      <c r="D7">
        <f t="shared" si="0"/>
        <v>0.25480908651522477</v>
      </c>
      <c r="E7" s="1">
        <v>13.1</v>
      </c>
    </row>
    <row r="8" spans="1:7" x14ac:dyDescent="0.3">
      <c r="B8" s="1" t="s">
        <v>10</v>
      </c>
      <c r="C8" s="1" t="s">
        <v>11</v>
      </c>
      <c r="D8" t="s">
        <v>11</v>
      </c>
      <c r="E8" s="1">
        <v>38.799999999999997</v>
      </c>
    </row>
    <row r="9" spans="1:7" x14ac:dyDescent="0.3">
      <c r="B9" s="1" t="s">
        <v>8</v>
      </c>
      <c r="C9" s="1">
        <v>0.4365</v>
      </c>
      <c r="D9">
        <f t="shared" si="0"/>
        <v>0.4219429676172064</v>
      </c>
      <c r="E9" s="1"/>
      <c r="G9">
        <f>SUM(D3:D6)</f>
        <v>0.27752537457709037</v>
      </c>
    </row>
    <row r="10" spans="1:7" x14ac:dyDescent="0.3">
      <c r="A10" t="s">
        <v>7</v>
      </c>
      <c r="B10" t="s">
        <v>9</v>
      </c>
      <c r="C10">
        <v>4.7300000000000002E-2</v>
      </c>
      <c r="D10">
        <f t="shared" si="0"/>
        <v>4.5722571290478492E-2</v>
      </c>
      <c r="E10">
        <v>30</v>
      </c>
      <c r="G10">
        <f>SUM(C3:C6)</f>
        <v>0.28710000000000002</v>
      </c>
    </row>
    <row r="11" spans="1:7" x14ac:dyDescent="0.3">
      <c r="C11">
        <f>SUM(C3:C10)</f>
        <v>1.0345</v>
      </c>
      <c r="D11">
        <f>SUM(D3:D10)</f>
        <v>1</v>
      </c>
      <c r="E11">
        <f>SUM(E3:E10)</f>
        <v>103.19999999999999</v>
      </c>
      <c r="G11">
        <f>SUM(D7:D9)</f>
        <v>0.67675205413243122</v>
      </c>
    </row>
    <row r="14" spans="1:7" x14ac:dyDescent="0.3">
      <c r="A14" s="2" t="s">
        <v>14</v>
      </c>
    </row>
    <row r="15" spans="1:7" x14ac:dyDescent="0.3">
      <c r="A15" s="2" t="s">
        <v>15</v>
      </c>
      <c r="B15" t="s">
        <v>28</v>
      </c>
    </row>
    <row r="16" spans="1:7" x14ac:dyDescent="0.3">
      <c r="A16" t="s">
        <v>16</v>
      </c>
      <c r="B16">
        <v>77</v>
      </c>
      <c r="C16" s="3">
        <f>B16/$B$21</f>
        <v>0.46610169491525427</v>
      </c>
    </row>
    <row r="17" spans="1:9" x14ac:dyDescent="0.3">
      <c r="A17" t="s">
        <v>17</v>
      </c>
      <c r="B17">
        <v>19.5</v>
      </c>
      <c r="C17" s="3">
        <f t="shared" ref="C17:C21" si="1">B17/$B$21</f>
        <v>0.11803874092009686</v>
      </c>
    </row>
    <row r="18" spans="1:9" x14ac:dyDescent="0.3">
      <c r="A18" t="s">
        <v>18</v>
      </c>
      <c r="B18">
        <v>17.5</v>
      </c>
      <c r="C18" s="3">
        <f t="shared" si="1"/>
        <v>0.10593220338983052</v>
      </c>
      <c r="I18">
        <f>(4.57+29.1)/2</f>
        <v>16.835000000000001</v>
      </c>
    </row>
    <row r="19" spans="1:9" x14ac:dyDescent="0.3">
      <c r="A19" t="s">
        <v>19</v>
      </c>
      <c r="B19">
        <v>46</v>
      </c>
      <c r="C19" s="3">
        <f t="shared" si="1"/>
        <v>0.27845036319612593</v>
      </c>
      <c r="I19">
        <f>(18.1+20.6+27.75)/3</f>
        <v>22.150000000000002</v>
      </c>
    </row>
    <row r="20" spans="1:9" x14ac:dyDescent="0.3">
      <c r="A20" t="s">
        <v>20</v>
      </c>
      <c r="B20">
        <v>5.2</v>
      </c>
      <c r="C20" s="3">
        <f t="shared" si="1"/>
        <v>3.1476997578692496E-2</v>
      </c>
      <c r="I20">
        <f>100-I19-I18</f>
        <v>61.014999999999993</v>
      </c>
    </row>
    <row r="21" spans="1:9" x14ac:dyDescent="0.3">
      <c r="A21" s="2" t="s">
        <v>30</v>
      </c>
      <c r="B21" s="2">
        <f>SUM(B16:B20)</f>
        <v>165.2</v>
      </c>
      <c r="C21" s="3">
        <f t="shared" si="1"/>
        <v>1</v>
      </c>
      <c r="I21">
        <f>(82.1+50.3+67.7)/3</f>
        <v>66.699999999999989</v>
      </c>
    </row>
    <row r="22" spans="1:9" x14ac:dyDescent="0.3">
      <c r="A22" s="2" t="s">
        <v>21</v>
      </c>
      <c r="C22" s="4"/>
      <c r="I22">
        <f>(0.58+0.82)/2</f>
        <v>0.7</v>
      </c>
    </row>
    <row r="23" spans="1:9" x14ac:dyDescent="0.3">
      <c r="A23" t="s">
        <v>1</v>
      </c>
      <c r="B23">
        <v>2.5</v>
      </c>
      <c r="C23" s="3">
        <f>B23/$B$30</f>
        <v>1.5142337976983647E-2</v>
      </c>
    </row>
    <row r="24" spans="1:9" x14ac:dyDescent="0.3">
      <c r="A24" t="s">
        <v>22</v>
      </c>
      <c r="B24">
        <v>3</v>
      </c>
      <c r="C24" s="3">
        <f t="shared" ref="C24:C30" si="2">B24/$B$30</f>
        <v>1.8170805572380377E-2</v>
      </c>
    </row>
    <row r="25" spans="1:9" x14ac:dyDescent="0.3">
      <c r="A25" t="s">
        <v>23</v>
      </c>
      <c r="B25">
        <v>12.5</v>
      </c>
      <c r="C25" s="3">
        <f t="shared" si="2"/>
        <v>7.5711689884918235E-2</v>
      </c>
    </row>
    <row r="26" spans="1:9" x14ac:dyDescent="0.3">
      <c r="A26" t="s">
        <v>24</v>
      </c>
      <c r="B26">
        <v>16</v>
      </c>
      <c r="C26" s="3">
        <f t="shared" si="2"/>
        <v>9.6910963052695337E-2</v>
      </c>
      <c r="D26" s="4">
        <f>SUM(C23:C26)</f>
        <v>0.2059357964869776</v>
      </c>
    </row>
    <row r="27" spans="1:9" x14ac:dyDescent="0.3">
      <c r="A27" t="s">
        <v>25</v>
      </c>
      <c r="B27">
        <v>21</v>
      </c>
      <c r="C27" s="3">
        <f t="shared" si="2"/>
        <v>0.12719563900666264</v>
      </c>
      <c r="D27" s="4">
        <f>SUM(C27:C28)</f>
        <v>0.5033313143549365</v>
      </c>
    </row>
    <row r="28" spans="1:9" x14ac:dyDescent="0.3">
      <c r="A28" t="s">
        <v>26</v>
      </c>
      <c r="B28">
        <v>62.1</v>
      </c>
      <c r="C28" s="3">
        <f t="shared" si="2"/>
        <v>0.3761356753482738</v>
      </c>
      <c r="D28" s="4"/>
    </row>
    <row r="29" spans="1:9" x14ac:dyDescent="0.3">
      <c r="A29" t="s">
        <v>27</v>
      </c>
      <c r="B29">
        <v>48</v>
      </c>
      <c r="C29" s="3">
        <f t="shared" si="2"/>
        <v>0.29073288915808604</v>
      </c>
    </row>
    <row r="30" spans="1:9" x14ac:dyDescent="0.3">
      <c r="A30" s="2" t="s">
        <v>30</v>
      </c>
      <c r="B30" s="2">
        <f>SUM(B23:B29)</f>
        <v>165.1</v>
      </c>
      <c r="C30" s="3">
        <f t="shared" si="2"/>
        <v>1</v>
      </c>
    </row>
    <row r="31" spans="1:9" x14ac:dyDescent="0.3">
      <c r="A31" s="2"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FT </vt:lpstr>
      <vt:lpstr>Co-Electrolysis (2)</vt:lpstr>
      <vt:lpstr>Process Req.</vt:lpstr>
      <vt:lpstr>Co-Electrolysis</vt:lpstr>
      <vt:lpstr>CO2</vt:lpstr>
      <vt:lpstr>Fuel</vt:lpstr>
      <vt:lpstr>Hydrocracker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Fawziyyah Olumoh</dc:creator>
  <cp:lastModifiedBy>Fawziyyah Olumoh</cp:lastModifiedBy>
  <dcterms:created xsi:type="dcterms:W3CDTF">2023-08-06T01:01:21Z</dcterms:created>
  <dcterms:modified xsi:type="dcterms:W3CDTF">2024-02-28T06:50:14Z</dcterms:modified>
</cp:coreProperties>
</file>